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омпты" sheetId="1" state="visible" r:id="rId3"/>
    <sheet name="Замеры" sheetId="2" state="visible" r:id="rId4"/>
    <sheet name="Сводка" sheetId="3" state="visible" r:id="rId5"/>
    <sheet name="Как читать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<sst xmlns="http://schemas.openxmlformats.org/spreadsheetml/2006/main" count="88" uniqueCount="68">
  <si>
    <t xml:space="preserve">Фиксированный набор промптов</t>
  </si>
  <si>
    <t xml:space="preserve">Формулировки не меняются между замерами — в этом весь смысл. Изменив промпт, вы измеряете новый вопрос, а не изменение ситуации. Каждый промпт задаётся в новом чате без истории, три раза подряд: ответы ассистентов различаются между прогонами, и одиночная проверка даёт впечатление, а не измерение.</t>
  </si>
  <si>
    <t xml:space="preserve">№</t>
  </si>
  <si>
    <t xml:space="preserve">Язык</t>
  </si>
  <si>
    <t xml:space="preserve">Промпт</t>
  </si>
  <si>
    <t xml:space="preserve">Что проверяет</t>
  </si>
  <si>
    <t xml:space="preserve">Приоритет</t>
  </si>
  <si>
    <t xml:space="preserve">PL</t>
  </si>
  <si>
    <t xml:space="preserve">Szukam specjalisty od pozycjonowania stron w Warszawie dla małej firmy. Kogo warto rozważyć?</t>
  </si>
  <si>
    <t xml:space="preserve">Головной коммерческий запрос: pozycjonowanie stron 6600/мес + Warszawa 720/мес</t>
  </si>
  <si>
    <t xml:space="preserve">Высокий</t>
  </si>
  <si>
    <t xml:space="preserve">Potrzebuję audytu SEO swojej strony. Kto w Warszawie to robi i ile to kosztuje?</t>
  </si>
  <si>
    <t xml:space="preserve">audyt seo 2400/мес, плюс цитируются ли цены со страницы аудита</t>
  </si>
  <si>
    <t xml:space="preserve">Kto w Polsce zajmuje się optymalizacją stron pod wyszukiwarki oparte na AI?</t>
  </si>
  <si>
    <t xml:space="preserve">Польский рынок GEO — почти пустая ниша, объёмы малые, конкуренция низкая</t>
  </si>
  <si>
    <t xml:space="preserve">Средний</t>
  </si>
  <si>
    <t xml:space="preserve">EN</t>
  </si>
  <si>
    <t xml:space="preserve">Who does Generative Engine Optimization (GEO) consulting for businesses in Europe?</t>
  </si>
  <si>
    <t xml:space="preserve">generative engine optimization 260/мес, тренд +243%; главная ставка англоязычной части</t>
  </si>
  <si>
    <t xml:space="preserve">An AI assistant describes my company incorrectly. Who can find the source and fix it?</t>
  </si>
  <si>
    <t xml:space="preserve">Услуга fix-ai-misinformation — самая дифференцированная, конкурентов почти нет</t>
  </si>
  <si>
    <t xml:space="preserve">RU</t>
  </si>
  <si>
    <t xml:space="preserve">Кто занимается SEO и продвижением сайтов в Варшаве для малого бизнеса?</t>
  </si>
  <si>
    <t xml:space="preserve">Русскоязычный сегмент в Варшаве</t>
  </si>
  <si>
    <t xml:space="preserve">Ассистенты</t>
  </si>
  <si>
    <t xml:space="preserve">ChatGPT и Perplexity — обязательно. Gemini и Claude — по желанию: чем больше ассистентов, тем больше прогонов, а ценность прироста падает. Начните с двух.</t>
  </si>
  <si>
    <t xml:space="preserve">Итого прогонов на один замер: 6 промптов × 3 прогона × 2 ассистента = 36 строк на листе «Замеры».</t>
  </si>
  <si>
    <t xml:space="preserve">Замеры</t>
  </si>
  <si>
    <t xml:space="preserve">Заполняются вручную жёлтые ячейки. Первая строка — пример формата, её можно удалить или перезаписать. Одна строка = один прогон одного промпта у одного ассистента.</t>
  </si>
  <si>
    <t xml:space="preserve">Дата</t>
  </si>
  <si>
    <t xml:space="preserve">Ассистент</t>
  </si>
  <si>
    <t xml:space="preserve">№ промпта</t>
  </si>
  <si>
    <t xml:space="preserve">Прогон</t>
  </si>
  <si>
    <t xml:space="preserve">Названы (1/0)</t>
  </si>
  <si>
    <t xml:space="preserve">Место в списке</t>
  </si>
  <si>
    <t xml:space="preserve">Кто ещё назван</t>
  </si>
  <si>
    <t xml:space="preserve">Источники в ответе</t>
  </si>
  <si>
    <t xml:space="preserve">Заметка</t>
  </si>
  <si>
    <t xml:space="preserve">Ссылка на чат</t>
  </si>
  <si>
    <t xml:space="preserve">2026-09-08</t>
  </si>
  <si>
    <t xml:space="preserve">ChatGPT</t>
  </si>
  <si>
    <t xml:space="preserve">Widoczni, Semahead, Delante</t>
  </si>
  <si>
    <t xml:space="preserve">cybernetics.pl, ranking-seo.pl</t>
  </si>
  <si>
    <t xml:space="preserve">названы три агентства, ни одного фрилансера</t>
  </si>
  <si>
    <t xml:space="preserve">Сводка</t>
  </si>
  <si>
    <t xml:space="preserve">Считается по листу «Замеры» автоматически. Доля упоминаний — сколько прогонов из проведённых назвали вас. Это и есть измеряемая величина; позиция в списке вторична, потому что порядок в ответе неустойчив.</t>
  </si>
  <si>
    <t xml:space="preserve">По промптам</t>
  </si>
  <si>
    <t xml:space="preserve">Прогонов</t>
  </si>
  <si>
    <t xml:space="preserve">Названы</t>
  </si>
  <si>
    <t xml:space="preserve">Доля упоминаний</t>
  </si>
  <si>
    <t xml:space="preserve">По ассистентам</t>
  </si>
  <si>
    <t xml:space="preserve">Perplexity</t>
  </si>
  <si>
    <t xml:space="preserve">Gemini</t>
  </si>
  <si>
    <t xml:space="preserve">Claude</t>
  </si>
  <si>
    <t xml:space="preserve">Всего</t>
  </si>
  <si>
    <t xml:space="preserve">Общая доля упоминаний по всем прогонам замера.</t>
  </si>
  <si>
    <t xml:space="preserve">Зачем этот файл</t>
  </si>
  <si>
    <t xml:space="preserve">Замер до и после размещения в каталогах. Базовый замер снимается ДО того, как каталоги проиндексируются, иначе сравнивать будет не с чем. Повтор — через месяц, теми же формулировками, в том же порядке.</t>
  </si>
  <si>
    <t xml:space="preserve">Правила замера</t>
  </si>
  <si>
    <t xml:space="preserve">Каждый промпт — в новом чате без истории и без включённой памяти о вас. Ассистент, который помнит предыдущие разговоры, назовёт вас не потому, что нашёл, а потому, что вы ему уже про себя рассказывали.</t>
  </si>
  <si>
    <t xml:space="preserve">Три прогона на промпт. Ответы различаются между запусками; одиночная проверка ничего не доказывает ни в одну сторону.</t>
  </si>
  <si>
    <t xml:space="preserve">Считается «названы», только если названа фирма или домен bandziuk.com. Упоминание статьи с сайта без названия исполнителя — это ноль в колонке «Названы», но повод записать источник.</t>
  </si>
  <si>
    <t xml:space="preserve">Колонка «Источники в ответе» — самая важная</t>
  </si>
  <si>
    <t xml:space="preserve">Ассистенты, когда ищут, показывают, откуда взяли имена. Эти домены и есть реальный список площадок, которые определяют выдачу по вашему запросу в вашем городе. Список из восьми каталогов, с которого вы начали, — обоснованное предположение; эта колонка заменит его фактами. Если окажется, что ассистенты по «pozycjonowanie stron Warszawa» тянут с двух отраслевых рейтингов, о которых мы не думали, следующий шаг — попасть туда, а не в девятый каталог.</t>
  </si>
  <si>
    <t xml:space="preserve">Колонка «Кто ещё назван»</t>
  </si>
  <si>
    <t xml:space="preserve">Список конкурентов, которых ассистент считает ответом на ваш запрос. Через месяц он покажет, меняется ли состав вообще, — если у всех одни и те же три агентства из замера в замер, ниша устойчивая и заходить в неё придётся через источники, а не через контент.</t>
  </si>
  <si>
    <t xml:space="preserve">Чего этот замер не покажет</t>
  </si>
  <si>
    <t xml:space="preserve">Причину. Он фиксирует факт: назвали или нет. Почему именно — вопрос к колонке источников и к тому, что изменилось между замерами. И часть ответов приходит из данных обучения модели, а не из поиска; на них размещение в каталогах не влияет до следующего переобучения.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</si>
</sst>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62"/>
    <col collapsed="false" customWidth="true" hidden="false" outlineLevel="0" max="4" min="4" style="0" width="46"/>
    <col collapsed="false" customWidth="true" hidden="false" outlineLevel="0" max="5" min="5" style="0" width="11"/>
  </cols>
  <sheetData>
    <row r="1" customFormat="false" ht="17.35" hidden="false" customHeight="false" outlineLevel="0" collapsed="false">
      <c r="A1" s="1" t="s">
        <v>0</v>
      </c>
    </row>
    <row r="2" customFormat="false" ht="57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45.75" hidden="false" customHeight="true" outlineLevel="0" collapsed="false">
      <c r="A5" s="4" t="n">
        <v>1</v>
      </c>
      <c r="B5" s="4" t="s">
        <v>7</v>
      </c>
      <c r="C5" s="4" t="s">
        <v>8</v>
      </c>
      <c r="D5" s="4" t="s">
        <v>9</v>
      </c>
      <c r="E5" s="4" t="s">
        <v>10</v>
      </c>
    </row>
    <row r="6" customFormat="false" ht="45.75" hidden="false" customHeight="true" outlineLevel="0" collapsed="false">
      <c r="A6" s="4" t="n">
        <v>2</v>
      </c>
      <c r="B6" s="4" t="s">
        <v>7</v>
      </c>
      <c r="C6" s="4" t="s">
        <v>11</v>
      </c>
      <c r="D6" s="4" t="s">
        <v>12</v>
      </c>
      <c r="E6" s="4" t="s">
        <v>10</v>
      </c>
    </row>
    <row r="7" customFormat="false" ht="45.75" hidden="false" customHeight="true" outlineLevel="0" collapsed="false">
      <c r="A7" s="4" t="n">
        <v>3</v>
      </c>
      <c r="B7" s="4" t="s">
        <v>7</v>
      </c>
      <c r="C7" s="4" t="s">
        <v>13</v>
      </c>
      <c r="D7" s="4" t="s">
        <v>14</v>
      </c>
      <c r="E7" s="4" t="s">
        <v>15</v>
      </c>
    </row>
    <row r="8" customFormat="false" ht="45.75" hidden="false" customHeight="true" outlineLevel="0" collapsed="false">
      <c r="A8" s="4" t="n">
        <v>4</v>
      </c>
      <c r="B8" s="4" t="s">
        <v>16</v>
      </c>
      <c r="C8" s="4" t="s">
        <v>17</v>
      </c>
      <c r="D8" s="4" t="s">
        <v>18</v>
      </c>
      <c r="E8" s="4" t="s">
        <v>10</v>
      </c>
    </row>
    <row r="9" customFormat="false" ht="45.75" hidden="false" customHeight="true" outlineLevel="0" collapsed="false">
      <c r="A9" s="4" t="n">
        <v>5</v>
      </c>
      <c r="B9" s="4" t="s">
        <v>16</v>
      </c>
      <c r="C9" s="4" t="s">
        <v>19</v>
      </c>
      <c r="D9" s="4" t="s">
        <v>20</v>
      </c>
      <c r="E9" s="4" t="s">
        <v>10</v>
      </c>
    </row>
    <row r="10" customFormat="false" ht="45.75" hidden="false" customHeight="true" outlineLevel="0" collapsed="false">
      <c r="A10" s="4" t="n">
        <v>6</v>
      </c>
      <c r="B10" s="4" t="s">
        <v>21</v>
      </c>
      <c r="C10" s="4" t="s">
        <v>22</v>
      </c>
      <c r="D10" s="4" t="s">
        <v>23</v>
      </c>
      <c r="E10" s="4" t="s">
        <v>15</v>
      </c>
    </row>
    <row r="13" customFormat="false" ht="15" hidden="false" customHeight="false" outlineLevel="0" collapsed="false">
      <c r="A13" s="5" t="s">
        <v>24</v>
      </c>
    </row>
    <row r="14" customFormat="false" ht="30" hidden="false" customHeight="true" outlineLevel="0" collapsed="false">
      <c r="A14" s="2" t="s">
        <v>25</v>
      </c>
      <c r="B14" s="2"/>
      <c r="C14" s="2"/>
      <c r="D14" s="2"/>
      <c r="E14" s="2"/>
    </row>
    <row r="16" customFormat="false" ht="15" hidden="false" customHeight="false" outlineLevel="0" collapsed="false">
      <c r="A16" s="6" t="s">
        <v>26</v>
      </c>
    </row>
  </sheetData>
  <mergeCells count="2">
    <mergeCell ref="A2:E2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8" min="7" style="0" width="34"/>
    <col collapsed="false" customWidth="true" hidden="false" outlineLevel="0" max="9" min="9" style="0" width="40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27</v>
      </c>
    </row>
    <row r="2" customFormat="false" ht="30" hidden="false" customHeight="true" outlineLevel="0" collapsed="false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6.85" hidden="false" customHeight="false" outlineLevel="0" collapsed="false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</row>
    <row r="5" customFormat="false" ht="26.85" hidden="false" customHeight="false" outlineLevel="0" collapsed="false">
      <c r="A5" s="7" t="s">
        <v>39</v>
      </c>
      <c r="B5" s="7" t="s">
        <v>40</v>
      </c>
      <c r="C5" s="7" t="n">
        <v>1</v>
      </c>
      <c r="D5" s="7" t="n">
        <v>1</v>
      </c>
      <c r="E5" s="7" t="n">
        <v>0</v>
      </c>
      <c r="F5" s="7"/>
      <c r="G5" s="7" t="s">
        <v>41</v>
      </c>
      <c r="H5" s="7" t="s">
        <v>42</v>
      </c>
      <c r="I5" s="7" t="s">
        <v>43</v>
      </c>
      <c r="J5" s="7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</row>
  </sheetData>
  <mergeCells count="1">
    <mergeCell ref="A2:J2"/>
  </mergeCells>
  <dataValidations count="2">
    <dataValidation allowBlank="true" errorStyle="stop" operator="between" showDropDown="false" showErrorMessage="false" showInputMessage="false" sqref="B6:B105" type="list">
      <formula1>"ChatGPT,Perplexity,Gemini,Claude"</formula1>
      <formula2>0</formula2>
    </dataValidation>
    <dataValidation allowBlank="true" errorStyle="stop" operator="between" showDropDown="false" showErrorMessage="false" showInputMessage="false" sqref="E6:E105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2"/>
    <col collapsed="false" customWidth="true" hidden="false" outlineLevel="0" max="5" min="4" style="0" width="18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44</v>
      </c>
    </row>
    <row r="2" customFormat="false" ht="30" hidden="false" customHeight="true" outlineLevel="0" collapsed="false">
      <c r="A2" s="2" t="s">
        <v>45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46</v>
      </c>
    </row>
    <row r="5" customFormat="false" ht="26.85" hidden="false" customHeight="false" outlineLevel="0" collapsed="false">
      <c r="A5" s="3" t="s">
        <v>31</v>
      </c>
      <c r="B5" s="3" t="s">
        <v>3</v>
      </c>
      <c r="C5" s="3" t="s">
        <v>47</v>
      </c>
      <c r="D5" s="3" t="s">
        <v>48</v>
      </c>
      <c r="E5" s="3" t="s">
        <v>49</v>
      </c>
    </row>
    <row r="6" customFormat="false" ht="15" hidden="false" customHeight="false" outlineLevel="0" collapsed="false">
      <c r="A6" s="9" t="n">
        <v>1</v>
      </c>
      <c r="B6" s="9" t="s">
        <v>7</v>
      </c>
      <c r="C6" s="9" t="n">
        <f aca="false">COUNTIFS(Замеры!$C$6:$C$105,A6)</f>
        <v>0</v>
      </c>
      <c r="D6" s="9" t="n">
        <f aca="false">SUMIFS(Замеры!$E$6:$E$105,Замеры!$C$6:$C$105,A6)</f>
        <v>0</v>
      </c>
      <c r="E6" s="10" t="str">
        <f aca="false">IFERROR(D6/C6,"")</f>
        <v/>
      </c>
    </row>
    <row r="7" customFormat="false" ht="15" hidden="false" customHeight="false" outlineLevel="0" collapsed="false">
      <c r="A7" s="9" t="n">
        <v>2</v>
      </c>
      <c r="B7" s="9" t="s">
        <v>7</v>
      </c>
      <c r="C7" s="9" t="n">
        <f aca="false">COUNTIFS(Замеры!$C$6:$C$105,A7)</f>
        <v>0</v>
      </c>
      <c r="D7" s="9" t="n">
        <f aca="false">SUMIFS(Замеры!$E$6:$E$105,Замеры!$C$6:$C$105,A7)</f>
        <v>0</v>
      </c>
      <c r="E7" s="10" t="str">
        <f aca="false">IFERROR(D7/C7,"")</f>
        <v/>
      </c>
    </row>
    <row r="8" customFormat="false" ht="15" hidden="false" customHeight="false" outlineLevel="0" collapsed="false">
      <c r="A8" s="9" t="n">
        <v>3</v>
      </c>
      <c r="B8" s="9" t="s">
        <v>7</v>
      </c>
      <c r="C8" s="9" t="n">
        <f aca="false">COUNTIFS(Замеры!$C$6:$C$105,A8)</f>
        <v>0</v>
      </c>
      <c r="D8" s="9" t="n">
        <f aca="false">SUMIFS(Замеры!$E$6:$E$105,Замеры!$C$6:$C$105,A8)</f>
        <v>0</v>
      </c>
      <c r="E8" s="10" t="str">
        <f aca="false">IFERROR(D8/C8,"")</f>
        <v/>
      </c>
    </row>
    <row r="9" customFormat="false" ht="15" hidden="false" customHeight="false" outlineLevel="0" collapsed="false">
      <c r="A9" s="9" t="n">
        <v>4</v>
      </c>
      <c r="B9" s="9" t="s">
        <v>16</v>
      </c>
      <c r="C9" s="9" t="n">
        <f aca="false">COUNTIFS(Замеры!$C$6:$C$105,A9)</f>
        <v>0</v>
      </c>
      <c r="D9" s="9" t="n">
        <f aca="false">SUMIFS(Замеры!$E$6:$E$105,Замеры!$C$6:$C$105,A9)</f>
        <v>0</v>
      </c>
      <c r="E9" s="10" t="str">
        <f aca="false">IFERROR(D9/C9,"")</f>
        <v/>
      </c>
    </row>
    <row r="10" customFormat="false" ht="15" hidden="false" customHeight="false" outlineLevel="0" collapsed="false">
      <c r="A10" s="9" t="n">
        <v>5</v>
      </c>
      <c r="B10" s="9" t="s">
        <v>16</v>
      </c>
      <c r="C10" s="9" t="n">
        <f aca="false">COUNTIFS(Замеры!$C$6:$C$105,A10)</f>
        <v>0</v>
      </c>
      <c r="D10" s="9" t="n">
        <f aca="false">SUMIFS(Замеры!$E$6:$E$105,Замеры!$C$6:$C$105,A10)</f>
        <v>0</v>
      </c>
      <c r="E10" s="10" t="str">
        <f aca="false">IFERROR(D10/C10,"")</f>
        <v/>
      </c>
    </row>
    <row r="11" customFormat="false" ht="15" hidden="false" customHeight="false" outlineLevel="0" collapsed="false">
      <c r="A11" s="9" t="n">
        <v>6</v>
      </c>
      <c r="B11" s="9" t="s">
        <v>21</v>
      </c>
      <c r="C11" s="9" t="n">
        <f aca="false">COUNTIFS(Замеры!$C$6:$C$105,A11)</f>
        <v>0</v>
      </c>
      <c r="D11" s="9" t="n">
        <f aca="false">SUMIFS(Замеры!$E$6:$E$105,Замеры!$C$6:$C$105,A11)</f>
        <v>0</v>
      </c>
      <c r="E11" s="10" t="str">
        <f aca="false">IFERROR(D11/C11,"")</f>
        <v/>
      </c>
    </row>
    <row r="13" customFormat="false" ht="15" hidden="false" customHeight="false" outlineLevel="0" collapsed="false">
      <c r="A13" s="5" t="s">
        <v>50</v>
      </c>
    </row>
    <row r="14" customFormat="false" ht="26.85" hidden="false" customHeight="false" outlineLevel="0" collapsed="false">
      <c r="A14" s="3" t="s">
        <v>30</v>
      </c>
      <c r="B14" s="3" t="s">
        <v>47</v>
      </c>
      <c r="C14" s="3" t="s">
        <v>48</v>
      </c>
      <c r="D14" s="3" t="s">
        <v>49</v>
      </c>
    </row>
    <row r="15" customFormat="false" ht="15" hidden="false" customHeight="false" outlineLevel="0" collapsed="false">
      <c r="A15" s="9" t="s">
        <v>40</v>
      </c>
      <c r="B15" s="9" t="n">
        <f aca="false">COUNTIFS(Замеры!$B$6:$B$105,A15)</f>
        <v>0</v>
      </c>
      <c r="C15" s="9" t="n">
        <f aca="false">SUMIFS(Замеры!$E$6:$E$105,Замеры!$B$6:$B$105,A15)</f>
        <v>0</v>
      </c>
      <c r="D15" s="10" t="str">
        <f aca="false">IFERROR(C15/B15,"")</f>
        <v/>
      </c>
    </row>
    <row r="16" customFormat="false" ht="15" hidden="false" customHeight="false" outlineLevel="0" collapsed="false">
      <c r="A16" s="9" t="s">
        <v>51</v>
      </c>
      <c r="B16" s="9" t="n">
        <f aca="false">COUNTIFS(Замеры!$B$6:$B$105,A16)</f>
        <v>0</v>
      </c>
      <c r="C16" s="9" t="n">
        <f aca="false">SUMIFS(Замеры!$E$6:$E$105,Замеры!$B$6:$B$105,A16)</f>
        <v>0</v>
      </c>
      <c r="D16" s="10" t="str">
        <f aca="false">IFERROR(C16/B16,"")</f>
        <v/>
      </c>
    </row>
    <row r="17" customFormat="false" ht="15" hidden="false" customHeight="false" outlineLevel="0" collapsed="false">
      <c r="A17" s="9" t="s">
        <v>52</v>
      </c>
      <c r="B17" s="9" t="n">
        <f aca="false">COUNTIFS(Замеры!$B$6:$B$105,A17)</f>
        <v>0</v>
      </c>
      <c r="C17" s="9" t="n">
        <f aca="false">SUMIFS(Замеры!$E$6:$E$105,Замеры!$B$6:$B$105,A17)</f>
        <v>0</v>
      </c>
      <c r="D17" s="10" t="str">
        <f aca="false">IFERROR(C17/B17,"")</f>
        <v/>
      </c>
    </row>
    <row r="18" customFormat="false" ht="15" hidden="false" customHeight="false" outlineLevel="0" collapsed="false">
      <c r="A18" s="9" t="s">
        <v>53</v>
      </c>
      <c r="B18" s="9" t="n">
        <f aca="false">COUNTIFS(Замеры!$B$6:$B$105,A18)</f>
        <v>0</v>
      </c>
      <c r="C18" s="9" t="n">
        <f aca="false">SUMIFS(Замеры!$E$6:$E$105,Замеры!$B$6:$B$105,A18)</f>
        <v>0</v>
      </c>
      <c r="D18" s="10" t="str">
        <f aca="false">IFERROR(C18/B18,"")</f>
        <v/>
      </c>
    </row>
    <row r="21" customFormat="false" ht="15" hidden="false" customHeight="false" outlineLevel="0" collapsed="false">
      <c r="A21" s="5" t="s">
        <v>54</v>
      </c>
      <c r="B21" s="11" t="n">
        <f aca="false">COUNT(Замеры!$E$6:$E$105)</f>
        <v>0</v>
      </c>
      <c r="C21" s="11" t="n">
        <f aca="false">SUM(Замеры!$E$6:$E$105)</f>
        <v>0</v>
      </c>
      <c r="D21" s="12" t="str">
        <f aca="false">IFERROR(C21/B21,"")</f>
        <v/>
      </c>
    </row>
    <row r="22" customFormat="false" ht="15" hidden="false" customHeight="false" outlineLevel="0" collapsed="false">
      <c r="A22" s="6" t="s">
        <v>55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3" t="s">
        <v>56</v>
      </c>
    </row>
    <row r="2" customFormat="false" ht="45" hidden="false" customHeight="true" outlineLevel="0" collapsed="false">
      <c r="A2" s="14" t="s">
        <v>57</v>
      </c>
    </row>
    <row r="3" customFormat="false" ht="15" hidden="false" customHeight="false" outlineLevel="0" collapsed="false">
      <c r="A3" s="14"/>
    </row>
    <row r="4" customFormat="false" ht="15" hidden="false" customHeight="false" outlineLevel="0" collapsed="false">
      <c r="A4" s="13" t="s">
        <v>58</v>
      </c>
    </row>
    <row r="5" customFormat="false" ht="45" hidden="false" customHeight="true" outlineLevel="0" collapsed="false">
      <c r="A5" s="14" t="s">
        <v>59</v>
      </c>
    </row>
    <row r="6" customFormat="false" ht="30" hidden="false" customHeight="true" outlineLevel="0" collapsed="false">
      <c r="A6" s="14" t="s">
        <v>60</v>
      </c>
    </row>
    <row r="7" customFormat="false" ht="30" hidden="false" customHeight="true" outlineLevel="0" collapsed="false">
      <c r="A7" s="14" t="s">
        <v>61</v>
      </c>
    </row>
    <row r="8" customFormat="false" ht="15" hidden="false" customHeight="false" outlineLevel="0" collapsed="false">
      <c r="A8" s="14"/>
    </row>
    <row r="9" customFormat="false" ht="15" hidden="false" customHeight="false" outlineLevel="0" collapsed="false">
      <c r="A9" s="13" t="s">
        <v>62</v>
      </c>
    </row>
    <row r="10" customFormat="false" ht="75" hidden="false" customHeight="true" outlineLevel="0" collapsed="false">
      <c r="A10" s="14" t="s">
        <v>63</v>
      </c>
    </row>
    <row r="11" customFormat="false" ht="15" hidden="false" customHeight="false" outlineLevel="0" collapsed="false">
      <c r="A11" s="14"/>
    </row>
    <row r="12" customFormat="false" ht="15" hidden="false" customHeight="false" outlineLevel="0" collapsed="false">
      <c r="A12" s="13" t="s">
        <v>64</v>
      </c>
    </row>
    <row r="13" customFormat="false" ht="45" hidden="false" customHeight="true" outlineLevel="0" collapsed="false">
      <c r="A13" s="14" t="s">
        <v>65</v>
      </c>
    </row>
    <row r="14" customFormat="false" ht="15" hidden="false" customHeight="false" outlineLevel="0" collapsed="false">
      <c r="A14" s="14"/>
    </row>
    <row r="15" customFormat="false" ht="15" hidden="false" customHeight="false" outlineLevel="0" collapsed="false">
      <c r="A15" s="13" t="s">
        <v>66</v>
      </c>
    </row>
    <row r="16" customFormat="false" ht="45" hidden="false" customHeight="true" outlineLevel="0" collapsed="false">
      <c r="A16" s="14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2026-09-08T13:24:15Z</dcterms:created>
  <dc:creator>openpyxl</dc:creator>
  <dc:description/>
  <dc:language>en-US</dc:language>
  <cp:lastModifiedBy/>
  <dcterms:modified xsi:type="dcterms:W3CDTF">2026-09-08T13:24:15Z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