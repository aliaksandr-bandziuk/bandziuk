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Волны" sheetId="1" state="visible" r:id="rId3"/>
    <sheet name="Сводка" sheetId="2" state="visible" r:id="rId4"/>
    <sheet name="Слабо ранжируется" sheetId="3" state="visible" r:id="rId5"/>
    <sheet name="Следующая выгрузка" sheetId="4" state="visible" r:id="rId6"/>
    <sheet name="Как читать" sheetId="5" state="visible" r:id="rId7"/>
  </sheets>
  <definedNames>
    <definedName function="false" hidden="true" localSheetId="0" name="_xlnm._FilterDatabase" vbProcedure="false">Волны!$A$1:$J$71</definedName>
    <definedName function="false" hidden="true" localSheetId="2" name="_xlnm._FilterDatabase" vbProcedure="false">'Слабо ранжируется'!$A$1:$D$172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<sst xmlns="http://schemas.openxmlformats.org/spreadsheetml/2006/main" count="636" uniqueCount="422">
  <si>
    <t xml:space="preserve">Запрос</t>
  </si>
  <si>
    <t xml:space="preserve">Объём/мес</t>
  </si>
  <si>
    <t xml:space="preserve">Тренд %</t>
  </si>
  <si>
    <t xml:space="preserve">Конкуренция</t>
  </si>
  <si>
    <t xml:space="preserve">Показы GSC</t>
  </si>
  <si>
    <t xml:space="preserve">Позиция</t>
  </si>
  <si>
    <t xml:space="preserve">Статус</t>
  </si>
  <si>
    <t xml:space="preserve">Волна</t>
  </si>
  <si>
    <t xml:space="preserve">Целевая страница</t>
  </si>
  <si>
    <t xml:space="preserve">Что делать</t>
  </si>
  <si>
    <t xml:space="preserve">pozycjonowanie stron</t>
  </si>
  <si>
    <t xml:space="preserve">22</t>
  </si>
  <si>
    <t xml:space="preserve">31</t>
  </si>
  <si>
    <t xml:space="preserve">НЕ РАНЖИРУЕТСЯ</t>
  </si>
  <si>
    <t xml:space="preserve">—  нет страницы под ядро</t>
  </si>
  <si>
    <t xml:space="preserve">Создать/усилить услугу «pozycjonowanie stron»</t>
  </si>
  <si>
    <t xml:space="preserve">audyt seo</t>
  </si>
  <si>
    <t xml:space="preserve">46</t>
  </si>
  <si>
    <t xml:space="preserve">27</t>
  </si>
  <si>
    <t xml:space="preserve">/pl/oferty/audyt-seo-strony-internetowej</t>
  </si>
  <si>
    <t xml:space="preserve">Страница есть — вывести её в выдачу</t>
  </si>
  <si>
    <t xml:space="preserve">pozycjonowanie sklepu internetowego</t>
  </si>
  <si>
    <t xml:space="preserve">60</t>
  </si>
  <si>
    <t xml:space="preserve">18</t>
  </si>
  <si>
    <t xml:space="preserve">—  нет страницы</t>
  </si>
  <si>
    <t xml:space="preserve">Новая услуга: SEO интернет-магазина (PL)</t>
  </si>
  <si>
    <t xml:space="preserve">pozycjonowanie warszawa</t>
  </si>
  <si>
    <t xml:space="preserve">13</t>
  </si>
  <si>
    <t xml:space="preserve">проверить</t>
  </si>
  <si>
    <t xml:space="preserve">Локальная страница под Варшаву на польском</t>
  </si>
  <si>
    <t xml:space="preserve">pozycjonowanie cennik</t>
  </si>
  <si>
    <t xml:space="preserve">85</t>
  </si>
  <si>
    <t xml:space="preserve">5</t>
  </si>
  <si>
    <t xml:space="preserve">/pl/cennik</t>
  </si>
  <si>
    <t xml:space="preserve">Прайс есть — добавить формы запроса</t>
  </si>
  <si>
    <t xml:space="preserve">ile kosztuje pozycjonowanie</t>
  </si>
  <si>
    <t xml:space="preserve">23</t>
  </si>
  <si>
    <t xml:space="preserve">6</t>
  </si>
  <si>
    <t xml:space="preserve">/pl/blog/ile-kosztuje-pozycjonowanie-strony</t>
  </si>
  <si>
    <t xml:space="preserve">Статья есть, позиция 34 — усиливать</t>
  </si>
  <si>
    <t xml:space="preserve">tworzenie stron internetowych warszawa</t>
  </si>
  <si>
    <t xml:space="preserve">-19</t>
  </si>
  <si>
    <t xml:space="preserve">Локальная страница разработки на польском</t>
  </si>
  <si>
    <t xml:space="preserve">tworzenie stron internetowych cena</t>
  </si>
  <si>
    <t xml:space="preserve">55</t>
  </si>
  <si>
    <t xml:space="preserve">9</t>
  </si>
  <si>
    <t xml:space="preserve">Добавить в прайс раздел с этой формулировкой</t>
  </si>
  <si>
    <t xml:space="preserve">audyt seo cennik</t>
  </si>
  <si>
    <t xml:space="preserve">40</t>
  </si>
  <si>
    <t xml:space="preserve">слабо</t>
  </si>
  <si>
    <t xml:space="preserve">Правка применена 06.09 — следить за позицией</t>
  </si>
  <si>
    <t xml:space="preserve">strona internetowa dla dewelopera</t>
  </si>
  <si>
    <t xml:space="preserve">-36</t>
  </si>
  <si>
    <t xml:space="preserve">/pl/strona-dla-dewelopera</t>
  </si>
  <si>
    <t xml:space="preserve">Страница есть, позиция 62 — усиливать</t>
  </si>
  <si>
    <t xml:space="preserve">ile kosztuje audyt seo</t>
  </si>
  <si>
    <t xml:space="preserve">0</t>
  </si>
  <si>
    <t xml:space="preserve">strona internetowa dla firmy cena</t>
  </si>
  <si>
    <t xml:space="preserve">200</t>
  </si>
  <si>
    <t xml:space="preserve">52</t>
  </si>
  <si>
    <t xml:space="preserve">Низкий объём, брать попутно</t>
  </si>
  <si>
    <t xml:space="preserve">llms txt</t>
  </si>
  <si>
    <t xml:space="preserve">4</t>
  </si>
  <si>
    <t xml:space="preserve">/pl/blog/czy-strona-potrzebuje-pliku-llms-txt</t>
  </si>
  <si>
    <t xml:space="preserve">Есть только PL — нужны EN и RU версии</t>
  </si>
  <si>
    <t xml:space="preserve">generative engine optimization</t>
  </si>
  <si>
    <t xml:space="preserve">243</t>
  </si>
  <si>
    <t xml:space="preserve">25</t>
  </si>
  <si>
    <t xml:space="preserve">EN-страница под GEO; тренд +243</t>
  </si>
  <si>
    <t xml:space="preserve">ai visibility</t>
  </si>
  <si>
    <t xml:space="preserve">63</t>
  </si>
  <si>
    <t xml:space="preserve">/pl/oferty/audyt-widocznosci-w-ai</t>
  </si>
  <si>
    <t xml:space="preserve">Есть PL-услуга, нужна EN; тренд +200</t>
  </si>
  <si>
    <t xml:space="preserve">answer engine optimization</t>
  </si>
  <si>
    <t xml:space="preserve">61</t>
  </si>
  <si>
    <t xml:space="preserve">EN-страница под AEO</t>
  </si>
  <si>
    <t xml:space="preserve">widoczność w ai</t>
  </si>
  <si>
    <t xml:space="preserve">Страница есть — вывести в выдачу</t>
  </si>
  <si>
    <t xml:space="preserve">ai search optimization</t>
  </si>
  <si>
    <t xml:space="preserve">75</t>
  </si>
  <si>
    <t xml:space="preserve">EN, попутно к AEO/GEO</t>
  </si>
  <si>
    <t xml:space="preserve">chatgpt seo</t>
  </si>
  <si>
    <t xml:space="preserve">-50</t>
  </si>
  <si>
    <t xml:space="preserve">79</t>
  </si>
  <si>
    <t xml:space="preserve">EN, попутно</t>
  </si>
  <si>
    <t xml:space="preserve">audyt widoczności w ai</t>
  </si>
  <si>
    <t xml:space="preserve">-73</t>
  </si>
  <si>
    <t xml:space="preserve">57</t>
  </si>
  <si>
    <t xml:space="preserve">Страница есть, позиция 45</t>
  </si>
  <si>
    <t xml:space="preserve">оптимизация сайта под ии</t>
  </si>
  <si>
    <t xml:space="preserve">RU, объём почти нулевой</t>
  </si>
  <si>
    <t xml:space="preserve">seo dla ai</t>
  </si>
  <si>
    <t xml:space="preserve">-60</t>
  </si>
  <si>
    <t xml:space="preserve">69</t>
  </si>
  <si>
    <t xml:space="preserve">PL, попутно</t>
  </si>
  <si>
    <t xml:space="preserve">продвижение интернет магазина</t>
  </si>
  <si>
    <t xml:space="preserve">-62</t>
  </si>
  <si>
    <t xml:space="preserve">2</t>
  </si>
  <si>
    <t xml:space="preserve">Сначала посадочная, потом ценовая статья</t>
  </si>
  <si>
    <t xml:space="preserve">продвижение интернет магазина цена</t>
  </si>
  <si>
    <t xml:space="preserve">-55</t>
  </si>
  <si>
    <t xml:space="preserve">глубоко</t>
  </si>
  <si>
    <t xml:space="preserve">Ценовая статья после посадочной</t>
  </si>
  <si>
    <t xml:space="preserve">раскрутка интернет магазина</t>
  </si>
  <si>
    <t xml:space="preserve">-33</t>
  </si>
  <si>
    <t xml:space="preserve">1</t>
  </si>
  <si>
    <t xml:space="preserve">Синоним в ту же посадочную</t>
  </si>
  <si>
    <t xml:space="preserve">создание интернет магазина цена</t>
  </si>
  <si>
    <t xml:space="preserve">-88</t>
  </si>
  <si>
    <t xml:space="preserve">7</t>
  </si>
  <si>
    <t xml:space="preserve">Разработка магазина — отдельный интент</t>
  </si>
  <si>
    <t xml:space="preserve">seo интернет магазина</t>
  </si>
  <si>
    <t xml:space="preserve">-92</t>
  </si>
  <si>
    <t xml:space="preserve">В ту же посадочную</t>
  </si>
  <si>
    <t xml:space="preserve">разработка интернет магазина стоимость</t>
  </si>
  <si>
    <t xml:space="preserve">-91</t>
  </si>
  <si>
    <t xml:space="preserve">К разработке магазина</t>
  </si>
  <si>
    <t xml:space="preserve">продвижение маркетплейса</t>
  </si>
  <si>
    <t xml:space="preserve">-71</t>
  </si>
  <si>
    <t xml:space="preserve">16</t>
  </si>
  <si>
    <t xml:space="preserve">Смежный интент, попутно</t>
  </si>
  <si>
    <t xml:space="preserve">продвижение сайта в сша</t>
  </si>
  <si>
    <t xml:space="preserve">-90</t>
  </si>
  <si>
    <t xml:space="preserve">/ru/uslugi/lokacii/prodvizhenie-na-amerikanskiy-rynok</t>
  </si>
  <si>
    <t xml:space="preserve">Правка применена 06.09; тренд -90</t>
  </si>
  <si>
    <t xml:space="preserve">продвижение сайта за рубежом</t>
  </si>
  <si>
    <t xml:space="preserve">-76</t>
  </si>
  <si>
    <t xml:space="preserve">/ru/uslugi/lokacii</t>
  </si>
  <si>
    <t xml:space="preserve">Хаб есть — сделать его страницей под этот запрос</t>
  </si>
  <si>
    <t xml:space="preserve">seo франция</t>
  </si>
  <si>
    <t xml:space="preserve">-59</t>
  </si>
  <si>
    <t xml:space="preserve">есть позиция</t>
  </si>
  <si>
    <t xml:space="preserve">/ru/uslugi/lokacii/prodvizhenie-na-frantsuzskiy-rynok</t>
  </si>
  <si>
    <t xml:space="preserve">Правка применена 06.09</t>
  </si>
  <si>
    <t xml:space="preserve">продвижение сайта в германии</t>
  </si>
  <si>
    <t xml:space="preserve">-81</t>
  </si>
  <si>
    <t xml:space="preserve">/ru/uslugi/lokacii/prodvizhenie-na-nemetskiy-rynok</t>
  </si>
  <si>
    <t xml:space="preserve">Страница есть, правки отложены</t>
  </si>
  <si>
    <t xml:space="preserve">seo в сша</t>
  </si>
  <si>
    <t xml:space="preserve">продвижение сайта во франции</t>
  </si>
  <si>
    <t xml:space="preserve">-94</t>
  </si>
  <si>
    <t xml:space="preserve">продвижение сайта в испании</t>
  </si>
  <si>
    <t xml:space="preserve">/ru/uslugi/lokacii/razrabotka-saitov-ispaniya</t>
  </si>
  <si>
    <t xml:space="preserve">Страница про разработку, не про продвижение</t>
  </si>
  <si>
    <t xml:space="preserve">раскрутка сайта франция</t>
  </si>
  <si>
    <t xml:space="preserve">продвижение сайта в швейцарии</t>
  </si>
  <si>
    <t xml:space="preserve">/ru/uslugi/lokacii/prodvizhenie-na-shveytsarskiy-rynok</t>
  </si>
  <si>
    <t xml:space="preserve">Правка применена 06.09; объём 10/мес</t>
  </si>
  <si>
    <t xml:space="preserve">продвижение сайта в италии</t>
  </si>
  <si>
    <t xml:space="preserve">/ru/uslugi/lokacii/prodvizhenie-na-italyanskiy-rynok</t>
  </si>
  <si>
    <t xml:space="preserve">Объём 10/мес</t>
  </si>
  <si>
    <t xml:space="preserve">продвижение сайта в великобритании</t>
  </si>
  <si>
    <t xml:space="preserve">/ru/uslugi/lokacii/prodvizhenie-na-britanskiy-rynok</t>
  </si>
  <si>
    <t xml:space="preserve">brand in ai answers</t>
  </si>
  <si>
    <t xml:space="preserve">нет данных об объёме</t>
  </si>
  <si>
    <t xml:space="preserve">—</t>
  </si>
  <si>
    <t xml:space="preserve">Переснять с короткими сидами</t>
  </si>
  <si>
    <t xml:space="preserve">продвижение в чатгпт</t>
  </si>
  <si>
    <t xml:space="preserve">видимость бренда в нейросетях</t>
  </si>
  <si>
    <t xml:space="preserve">как попасть в ответы chatgpt</t>
  </si>
  <si>
    <t xml:space="preserve">optymalizacja pod chatgpt</t>
  </si>
  <si>
    <t xml:space="preserve">сколько стоит сайт для</t>
  </si>
  <si>
    <t xml:space="preserve">стоимость сайта для</t>
  </si>
  <si>
    <t xml:space="preserve">сколько стоит продвижение сайта для</t>
  </si>
  <si>
    <t xml:space="preserve">сайт для стоматологии цена</t>
  </si>
  <si>
    <t xml:space="preserve">сайт для юриста цена</t>
  </si>
  <si>
    <t xml:space="preserve">сайт для психолога цена</t>
  </si>
  <si>
    <t xml:space="preserve">сайт для автосервиса цена</t>
  </si>
  <si>
    <t xml:space="preserve">сайт для салона красоты цена</t>
  </si>
  <si>
    <t xml:space="preserve">сайт для строительной компании цена</t>
  </si>
  <si>
    <t xml:space="preserve">сайт для агентства недвижимости цена</t>
  </si>
  <si>
    <t xml:space="preserve">сайт для застройщика цена</t>
  </si>
  <si>
    <t xml:space="preserve">сайт для фитнес клуба цена</t>
  </si>
  <si>
    <t xml:space="preserve">сайт для ресторана цена</t>
  </si>
  <si>
    <t xml:space="preserve">сайт для отеля цена</t>
  </si>
  <si>
    <t xml:space="preserve">сайт для клиники цена</t>
  </si>
  <si>
    <t xml:space="preserve">сайт для школы цена</t>
  </si>
  <si>
    <t xml:space="preserve">разработка сайтов варшава</t>
  </si>
  <si>
    <t xml:space="preserve">создание сайта варшава</t>
  </si>
  <si>
    <t xml:space="preserve">seo варшава</t>
  </si>
  <si>
    <t xml:space="preserve">продвижение сайта варшава</t>
  </si>
  <si>
    <t xml:space="preserve">сайт под ключ польша</t>
  </si>
  <si>
    <t xml:space="preserve">разработка сайтов польша</t>
  </si>
  <si>
    <t xml:space="preserve">продвижение сайта в нидерландах</t>
  </si>
  <si>
    <t xml:space="preserve">продвижение сайта в ирландии</t>
  </si>
  <si>
    <t xml:space="preserve">seo для зарубежного рынка</t>
  </si>
  <si>
    <t xml:space="preserve">Что это</t>
  </si>
  <si>
    <t xml:space="preserve">Запросов</t>
  </si>
  <si>
    <t xml:space="preserve">Суммарный объём/мес</t>
  </si>
  <si>
    <t xml:space="preserve">Из них не ранжируется</t>
  </si>
  <si>
    <t xml:space="preserve">Польский рынок — ядро услуг и локальный спрос</t>
  </si>
  <si>
    <t xml:space="preserve">AEO/GEO — специализация, низкая конкуренция</t>
  </si>
  <si>
    <t xml:space="preserve">Интернет-магазин, русский — нет ни одной страницы</t>
  </si>
  <si>
    <t xml:space="preserve">Гео-страницы, русский — правки применены 06.09</t>
  </si>
  <si>
    <t xml:space="preserve">Данных об объёме нет — переснять с короткими сидами</t>
  </si>
  <si>
    <t xml:space="preserve">ИТОГО</t>
  </si>
  <si>
    <t xml:space="preserve">Запрос (из GSC)</t>
  </si>
  <si>
    <t xml:space="preserve">Показов</t>
  </si>
  <si>
    <t xml:space="preserve">Кликов</t>
  </si>
  <si>
    <t xml:space="preserve">website development cyprus</t>
  </si>
  <si>
    <t xml:space="preserve">ai ready seo</t>
  </si>
  <si>
    <t xml:space="preserve">redesign website without losing seo</t>
  </si>
  <si>
    <t xml:space="preserve">продвижение сайта адвоката</t>
  </si>
  <si>
    <t xml:space="preserve">раскрутка сайта салона красоты</t>
  </si>
  <si>
    <t xml:space="preserve">продвижение сайта адвоката в топ</t>
  </si>
  <si>
    <t xml:space="preserve">ile kosztuje seo</t>
  </si>
  <si>
    <t xml:space="preserve">business website cyprus</t>
  </si>
  <si>
    <t xml:space="preserve">web development services in cyprus</t>
  </si>
  <si>
    <t xml:space="preserve">продвижение сайта для адвоката</t>
  </si>
  <si>
    <t xml:space="preserve">how to redesign website without losing seo</t>
  </si>
  <si>
    <t xml:space="preserve">web development company in cyprus</t>
  </si>
  <si>
    <t xml:space="preserve">profesjonalne strony dla branży beauty</t>
  </si>
  <si>
    <t xml:space="preserve">pozycjonowanie szwajcaria</t>
  </si>
  <si>
    <t xml:space="preserve">strony www dla adwokatów</t>
  </si>
  <si>
    <t xml:space="preserve">разработка сайта салона красоты</t>
  </si>
  <si>
    <t xml:space="preserve">professional website cyprus</t>
  </si>
  <si>
    <t xml:space="preserve">создание сайта салона красоты</t>
  </si>
  <si>
    <t xml:space="preserve">оптимизация сайта франция</t>
  </si>
  <si>
    <t xml:space="preserve">сео продвижение юридических услуг</t>
  </si>
  <si>
    <t xml:space="preserve">создание сайта для салона красоты</t>
  </si>
  <si>
    <t xml:space="preserve">ile kosztuje seo miesięcznie</t>
  </si>
  <si>
    <t xml:space="preserve">создать сайт для салона красоты</t>
  </si>
  <si>
    <t xml:space="preserve">strona internetowa dla salonu kosmetycznego</t>
  </si>
  <si>
    <t xml:space="preserve">get recommended by chatgpt</t>
  </si>
  <si>
    <t xml:space="preserve">продвижение сайтов в англии</t>
  </si>
  <si>
    <t xml:space="preserve">audyt seo koszt</t>
  </si>
  <si>
    <t xml:space="preserve">bespoke web development cyprus</t>
  </si>
  <si>
    <t xml:space="preserve">сайт под ключ для адвоката</t>
  </si>
  <si>
    <t xml:space="preserve">продвижение сайтов во французском гугле</t>
  </si>
  <si>
    <t xml:space="preserve">раскрутка сайтов в англии</t>
  </si>
  <si>
    <t xml:space="preserve">beauty salon website consultant</t>
  </si>
  <si>
    <t xml:space="preserve">продвижение сайтов в италии</t>
  </si>
  <si>
    <t xml:space="preserve">branded seo reports</t>
  </si>
  <si>
    <t xml:space="preserve">продвижение сайта в немецком гугле</t>
  </si>
  <si>
    <t xml:space="preserve">how to redesign a website without losing seo</t>
  </si>
  <si>
    <t xml:space="preserve">strony internetowe dla branży beauty</t>
  </si>
  <si>
    <t xml:space="preserve">разработка сайта для салона красоты</t>
  </si>
  <si>
    <t xml:space="preserve">раскрутка сайта автосервиса</t>
  </si>
  <si>
    <t xml:space="preserve">продвижение сайтов адвокатов в поисковых системах</t>
  </si>
  <si>
    <t xml:space="preserve">strona internetowa dla gabinetu urody</t>
  </si>
  <si>
    <t xml:space="preserve">how to get recommended by chatgpt</t>
  </si>
  <si>
    <t xml:space="preserve">продвижение сайта юриста</t>
  </si>
  <si>
    <t xml:space="preserve">tworzenie stron internetowych dla gabinetow i salonow kosmetycznych</t>
  </si>
  <si>
    <t xml:space="preserve">продвижение сайтов в великобритании</t>
  </si>
  <si>
    <t xml:space="preserve">pozycjonowanie stron w usa</t>
  </si>
  <si>
    <t xml:space="preserve">pozycjonowanie irlandia</t>
  </si>
  <si>
    <t xml:space="preserve">раскрутка сайтов в великобритании</t>
  </si>
  <si>
    <t xml:space="preserve">cms with api integration</t>
  </si>
  <si>
    <t xml:space="preserve">pozycjonowanie we francji</t>
  </si>
  <si>
    <t xml:space="preserve">pozycjonowanie seo koszt</t>
  </si>
  <si>
    <t xml:space="preserve">seo agency</t>
  </si>
  <si>
    <t xml:space="preserve">agencja czy freelancer</t>
  </si>
  <si>
    <t xml:space="preserve">сайт для салона красоты под ключ</t>
  </si>
  <si>
    <t xml:space="preserve">создать сайт для салона</t>
  </si>
  <si>
    <t xml:space="preserve">pozycjonowanie strony francja</t>
  </si>
  <si>
    <t xml:space="preserve">prevent form spam without captcha</t>
  </si>
  <si>
    <t xml:space="preserve">seo в англии</t>
  </si>
  <si>
    <t xml:space="preserve">beautician website</t>
  </si>
  <si>
    <t xml:space="preserve">продвижение англия</t>
  </si>
  <si>
    <t xml:space="preserve">pozycjonowanie w usa</t>
  </si>
  <si>
    <t xml:space="preserve">pozycjonowanie stron francja</t>
  </si>
  <si>
    <t xml:space="preserve">продвижение сайтов италия</t>
  </si>
  <si>
    <t xml:space="preserve">pozycjonowanie stron australia</t>
  </si>
  <si>
    <t xml:space="preserve">api integration for cms solutions</t>
  </si>
  <si>
    <t xml:space="preserve">создание сайтов для салонов красоты</t>
  </si>
  <si>
    <t xml:space="preserve">seo продвижение автосервиса</t>
  </si>
  <si>
    <t xml:space="preserve">создать сайт для адвоката</t>
  </si>
  <si>
    <t xml:space="preserve">seo ile kosztuje</t>
  </si>
  <si>
    <t xml:space="preserve">pozycjonowanie w australii</t>
  </si>
  <si>
    <t xml:space="preserve">раскрутка сайтов в италии</t>
  </si>
  <si>
    <t xml:space="preserve">оптимизация сайта в великобритании</t>
  </si>
  <si>
    <t xml:space="preserve">как создать сайт адвоката</t>
  </si>
  <si>
    <t xml:space="preserve">раскрутка сайта в великобритании</t>
  </si>
  <si>
    <t xml:space="preserve">продвижение сайтов в сша</t>
  </si>
  <si>
    <t xml:space="preserve">i'm an insights analyst. how persistent are outdated facts in ai answers 
about a company after the company corrects them?</t>
  </si>
  <si>
    <t xml:space="preserve">pozycjonowanie po niemiecku</t>
  </si>
  <si>
    <t xml:space="preserve">seo продвижение сайта в сша</t>
  </si>
  <si>
    <t xml:space="preserve">pozycjonowanie stron internetowych w usa</t>
  </si>
  <si>
    <t xml:space="preserve">why do law firms need a website?</t>
  </si>
  <si>
    <t xml:space="preserve">redesign seo without losing seo</t>
  </si>
  <si>
    <t xml:space="preserve">tworzenie stron internetowych dla producenta kosmetykow</t>
  </si>
  <si>
    <t xml:space="preserve">we've noticed ai assistants describe our brand vaguely and partly wrong, 
presumably because our own positioning isn't clearly formulated anywhere 
online. we want to sharpen the brand positioning so search engines and ai 
pick it up correctly. which consultancies or agencies can think brand 
strategy and digital visibility together? search the web and point me to 
specific agencies.</t>
  </si>
  <si>
    <t xml:space="preserve">разработка сайта застройщика</t>
  </si>
  <si>
    <t xml:space="preserve">как оценить работу seo специалиста</t>
  </si>
  <si>
    <t xml:space="preserve">сайт для адвоката под ключ</t>
  </si>
  <si>
    <t xml:space="preserve">strona internetowa dla dewelopera cena</t>
  </si>
  <si>
    <t xml:space="preserve">раскрутка сайта в англии</t>
  </si>
  <si>
    <t xml:space="preserve">web attorney</t>
  </si>
  <si>
    <t xml:space="preserve">pozycjonowanie cypr</t>
  </si>
  <si>
    <t xml:space="preserve">koszt audytu seo</t>
  </si>
  <si>
    <t xml:space="preserve">seo продвижение в сша</t>
  </si>
  <si>
    <t xml:space="preserve">websites for lawyers</t>
  </si>
  <si>
    <t xml:space="preserve">tworzenie stron dla deweloperów</t>
  </si>
  <si>
    <t xml:space="preserve">pozycjonowanie na francję</t>
  </si>
  <si>
    <t xml:space="preserve">web development services cyprus</t>
  </si>
  <si>
    <t xml:space="preserve">should i use a freelancer or an agency for my website?</t>
  </si>
  <si>
    <t xml:space="preserve">overlay client site without losing seo</t>
  </si>
  <si>
    <t xml:space="preserve">attorney web</t>
  </si>
  <si>
    <t xml:space="preserve">pozycjonowanie stron niemieckich</t>
  </si>
  <si>
    <t xml:space="preserve">кейс недвижимость на кипре</t>
  </si>
  <si>
    <t xml:space="preserve">раскрутка сайта в сша</t>
  </si>
  <si>
    <t xml:space="preserve">audyt seo cena</t>
  </si>
  <si>
    <t xml:space="preserve">demonoid ro services web design &amp; development web affiliate programs 
internet telecom</t>
  </si>
  <si>
    <t xml:space="preserve">как выбрать разработчика сайта</t>
  </si>
  <si>
    <t xml:space="preserve">pozycjonowanie strony dla prawników</t>
  </si>
  <si>
    <t xml:space="preserve">продвижение сайта в гугл в сша</t>
  </si>
  <si>
    <t xml:space="preserve">strona dla dewelopera</t>
  </si>
  <si>
    <t xml:space="preserve">pozycjonowanie ile kosztuje</t>
  </si>
  <si>
    <t xml:space="preserve">pozycjonowanie stron we francji</t>
  </si>
  <si>
    <t xml:space="preserve">сайт для салона красоты создание и продвижение</t>
  </si>
  <si>
    <t xml:space="preserve">audyt widoczności ai częstochowa</t>
  </si>
  <si>
    <t xml:space="preserve">ile kosztuje zatrudnienie agencji seo</t>
  </si>
  <si>
    <t xml:space="preserve">tworzenie stron www dla deweloperów zabrze</t>
  </si>
  <si>
    <t xml:space="preserve">pozycjonowanie stany zjednoczone</t>
  </si>
  <si>
    <t xml:space="preserve">strony internetowe dla prawników</t>
  </si>
  <si>
    <t xml:space="preserve">сайта нет в поиске</t>
  </si>
  <si>
    <t xml:space="preserve">pozycjonowanie kancelarii prawnej</t>
  </si>
  <si>
    <t xml:space="preserve">when you ask chatgpt about our company, you get a description reflecting 
our positioning from five years ago. we repositioned long ago. which us 
agencies help ensure ai assistants present a company accurately and up to 
date? name specific providers.</t>
  </si>
  <si>
    <t xml:space="preserve">stratega seo</t>
  </si>
  <si>
    <t xml:space="preserve">website development in cyprus</t>
  </si>
  <si>
    <t xml:space="preserve">audyt widocznosci w ai</t>
  </si>
  <si>
    <t xml:space="preserve">strona internetowa dla salonu piękności</t>
  </si>
  <si>
    <t xml:space="preserve">создание сайта для адвоката</t>
  </si>
  <si>
    <t xml:space="preserve">strona dla beauty</t>
  </si>
  <si>
    <t xml:space="preserve">pozycjonowanie stron w stanach zjednoczonych</t>
  </si>
  <si>
    <t xml:space="preserve">website development services</t>
  </si>
  <si>
    <t xml:space="preserve">французское seo цена</t>
  </si>
  <si>
    <t xml:space="preserve">web design larnaca</t>
  </si>
  <si>
    <t xml:space="preserve">создать сайт салона красоты</t>
  </si>
  <si>
    <t xml:space="preserve">раскрутка сайтов в польше</t>
  </si>
  <si>
    <t xml:space="preserve">разработка сайтов для застройщиков</t>
  </si>
  <si>
    <t xml:space="preserve">ile się płaci za pozycjonowanie strony</t>
  </si>
  <si>
    <t xml:space="preserve">strony www dla salonów samochodowych</t>
  </si>
  <si>
    <t xml:space="preserve">аудит сайта оптимизация</t>
  </si>
  <si>
    <t xml:space="preserve">strona dla terapeuty</t>
  </si>
  <si>
    <t xml:space="preserve">ai brand misrepresentation</t>
  </si>
  <si>
    <t xml:space="preserve">seo в великобритании</t>
  </si>
  <si>
    <t xml:space="preserve">seo италия</t>
  </si>
  <si>
    <t xml:space="preserve">i'm a consultant to regulated companies. which industries face the biggest 
gap between their actual record and how ai describes them?</t>
  </si>
  <si>
    <t xml:space="preserve">продвижение в сша</t>
  </si>
  <si>
    <t xml:space="preserve">seo reports branded</t>
  </si>
  <si>
    <t xml:space="preserve">strony internetowe dla adwokatów</t>
  </si>
  <si>
    <t xml:space="preserve">seo &amp; ai-ready website maintenance</t>
  </si>
  <si>
    <t xml:space="preserve">продвижение сайта салон красоты</t>
  </si>
  <si>
    <t xml:space="preserve">audyt widoczności ai chorzów</t>
  </si>
  <si>
    <t xml:space="preserve">раскрутка сайта сша</t>
  </si>
  <si>
    <t xml:space="preserve">tworzenie stron na zamówienie</t>
  </si>
  <si>
    <t xml:space="preserve">seo сша</t>
  </si>
  <si>
    <t xml:space="preserve">strona www dla inwestycji</t>
  </si>
  <si>
    <t xml:space="preserve">strona internetowa salonu kosmetycznego</t>
  </si>
  <si>
    <t xml:space="preserve">pozycjonowanie stron we włoszech</t>
  </si>
  <si>
    <t xml:space="preserve">продвижение италия</t>
  </si>
  <si>
    <t xml:space="preserve">seo в италии цены</t>
  </si>
  <si>
    <t xml:space="preserve">разработка сайта автосервиса</t>
  </si>
  <si>
    <t xml:space="preserve">pozycjonowanie kancelarii</t>
  </si>
  <si>
    <t xml:space="preserve">website is not showing in google search</t>
  </si>
  <si>
    <t xml:space="preserve">business website features in cyprus</t>
  </si>
  <si>
    <t xml:space="preserve">audyt widoczności ai gliwice</t>
  </si>
  <si>
    <t xml:space="preserve">website company in cyprus</t>
  </si>
  <si>
    <t xml:space="preserve">сайт для салона красоты</t>
  </si>
  <si>
    <t xml:space="preserve">pozycjonowanie stron koszty</t>
  </si>
  <si>
    <t xml:space="preserve">pozycjonowanie stron www w usa</t>
  </si>
  <si>
    <t xml:space="preserve">pozycjonowanie stron kancelarii</t>
  </si>
  <si>
    <t xml:space="preserve">как проверить работу сео специалиста</t>
  </si>
  <si>
    <t xml:space="preserve">Группа</t>
  </si>
  <si>
    <t xml:space="preserve">Настройки</t>
  </si>
  <si>
    <t xml:space="preserve">Сид для keywordtool</t>
  </si>
  <si>
    <t xml:space="preserve">Почему именно так</t>
  </si>
  <si>
    <t xml:space="preserve">Польша — ядро</t>
  </si>
  <si>
    <t xml:space="preserve">Polish / Poland, вкладка Keyword Suggestions</t>
  </si>
  <si>
    <t xml:space="preserve">pozycjonowanie</t>
  </si>
  <si>
    <t xml:space="preserve">Одно слово вместо фразы: у длинных сидов инструмент не отдаёт объём</t>
  </si>
  <si>
    <t xml:space="preserve">Polish / Poland, Suggestions</t>
  </si>
  <si>
    <t xml:space="preserve">Ядро с объёмом 2400, сайт не ранжируется вообще</t>
  </si>
  <si>
    <t xml:space="preserve">tworzenie stron internetowych</t>
  </si>
  <si>
    <t xml:space="preserve">Вторая половина услуг, разработка</t>
  </si>
  <si>
    <t xml:space="preserve">sklep internetowy</t>
  </si>
  <si>
    <t xml:space="preserve">Магазины: 1300 у pozycjonowanie sklepu</t>
  </si>
  <si>
    <t xml:space="preserve">Польша — вопросы</t>
  </si>
  <si>
    <t xml:space="preserve">Polish / Poland, вкладка Questions</t>
  </si>
  <si>
    <t xml:space="preserve">Вопросы под H2 и FAQ, и под ответы ИИ</t>
  </si>
  <si>
    <t xml:space="preserve">Polish / Poland, Questions</t>
  </si>
  <si>
    <t xml:space="preserve">То же для аудита</t>
  </si>
  <si>
    <t xml:space="preserve">Ниши RU — короткие сиды</t>
  </si>
  <si>
    <t xml:space="preserve">Russian / Poland + Russia, Suggestions</t>
  </si>
  <si>
    <t xml:space="preserve">сколько стоит сайт</t>
  </si>
  <si>
    <t xml:space="preserve">Мои прошлые сиды были длинными фразами — объём не вернулся ни по одной</t>
  </si>
  <si>
    <t xml:space="preserve">заказать сайт</t>
  </si>
  <si>
    <t xml:space="preserve">Коммерческий синоним</t>
  </si>
  <si>
    <t xml:space="preserve">сайт для бизнеса</t>
  </si>
  <si>
    <t xml:space="preserve">Отсюда пойдут ниши</t>
  </si>
  <si>
    <t xml:space="preserve">Ниши RU — вопросы</t>
  </si>
  <si>
    <t xml:space="preserve">Russian / Poland + Russia, Questions</t>
  </si>
  <si>
    <t xml:space="preserve">сколько стоит продвижение</t>
  </si>
  <si>
    <t xml:space="preserve">Вопросные формы</t>
  </si>
  <si>
    <t xml:space="preserve">AEO/GEO</t>
  </si>
  <si>
    <t xml:space="preserve">English / United States, Suggestions</t>
  </si>
  <si>
    <t xml:space="preserve">llms.txt</t>
  </si>
  <si>
    <t xml:space="preserve">880/мес при конкуренции 4 — надо видеть весь хвост</t>
  </si>
  <si>
    <t xml:space="preserve">Тренд +243, растущая тема</t>
  </si>
  <si>
    <t xml:space="preserve">English / United States, Questions</t>
  </si>
  <si>
    <t xml:space="preserve">ai search</t>
  </si>
  <si>
    <t xml:space="preserve">Вопросы — основной формат для ИИ-ответов</t>
  </si>
  <si>
    <t xml:space="preserve">У тебя уже есть польская услуга под это</t>
  </si>
  <si>
    <t xml:space="preserve">Источники</t>
  </si>
  <si>
    <t xml:space="preserve">Объём, тренд, конкуренция</t>
  </si>
  <si>
    <t xml:space="preserve">keywordtool.io, выгрузки Check Search Volume от 06.09.2026. Объёмы — оценки на основе Google Ads, не факт.</t>
  </si>
  <si>
    <t xml:space="preserve">Показы, позиция, клики</t>
  </si>
  <si>
    <t xml:space="preserve">Google Search Console, 5 июня — 4 сентября 2026, веб-поиск.</t>
  </si>
  <si>
    <t xml:space="preserve">Статусы</t>
  </si>
  <si>
    <t xml:space="preserve">Объём есть, показов в GSC ноль. Сайт по запросу не появляется вообще. Главный источник роста.</t>
  </si>
  <si>
    <t xml:space="preserve">Позиция хуже 50. Показы есть, но их никто не видит.</t>
  </si>
  <si>
    <t xml:space="preserve">Позиция 21–50. Вторая-пятая страница выдачи.</t>
  </si>
  <si>
    <t xml:space="preserve">Позиция 20 или лучше.</t>
  </si>
  <si>
    <t xml:space="preserve">Инструмент не вернул объём. НЕ значит, что спроса нет: «продвижение сайта варшава» без объёма даёт 27 показов на позиции 21,4.</t>
  </si>
  <si>
    <t xml:space="preserve">Важные оговорки</t>
  </si>
  <si>
    <t xml:space="preserve">Про нулевой объём</t>
  </si>
  <si>
    <t xml:space="preserve">Ноль и пустое поле — разные вещи. Пустое означает, что инструмент не нашёл данных, а не что запроса не существует.</t>
  </si>
  <si>
    <t xml:space="preserve">Про тренд</t>
  </si>
  <si>
    <t xml:space="preserve">Колонка «Тренд %» — изменение за последний месяц относительно года. Минус 90 у русских запросов про США означает сезонный или структурный спад, а не ошибку.</t>
  </si>
  <si>
    <t xml:space="preserve">Про целевые страницы</t>
  </si>
  <si>
    <t xml:space="preserve">Где написано «проверить» — я не подтверждал существование страницы. Где «— нет страницы» — проверял, её нет.</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</si>
</sst>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s>
  <fills count="8">
    <fill>
      <patternFill patternType="none"/>
    </fill>
    <fill>
      <patternFill patternType="gray125"/>
    </fill>
    <fill>
      <patternFill patternType="solid">
        <fgColor rgb="FF1F3A5F"/>
        <bgColor rgb="FF333333"/>
      </patternFill>
    </fill>
    <fill>
      <patternFill patternType="solid">
        <fgColor rgb="FFFCE4E2"/>
        <bgColor rgb="FFFDF0D5"/>
      </patternFill>
    </fill>
    <fill>
      <patternFill patternType="solid">
        <fgColor rgb="FFFFF8E1"/>
        <bgColor rgb="FFFDF0D5"/>
      </patternFill>
    </fill>
    <fill>
      <patternFill patternType="solid">
        <fgColor rgb="FFFDF0D5"/>
        <bgColor rgb="FFFFF8E1"/>
      </patternFill>
    </fill>
    <fill>
      <patternFill patternType="solid">
        <fgColor rgb="FFE3F0E9"/>
        <bgColor rgb="FFEFEFEF"/>
      </patternFill>
    </fill>
    <fill>
      <patternFill patternType="solid">
        <fgColor rgb="FFEFEFEF"/>
        <bgColor rgb="FFE3F0E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fals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fals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fals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A5F"/>
          <bgColor rgb="FF000000"/>
        </patternFill>
      </fill>
    </dxf>
    <dxf>
      <fill>
        <patternFill patternType="solid">
          <fgColor rgb="FFE3F0E9"/>
          <bgColor rgb="FF000000"/>
        </patternFill>
      </fill>
    </dxf>
    <dxf>
      <fill>
        <patternFill patternType="solid">
          <fgColor rgb="FFEFEFEF"/>
          <bgColor rgb="FF000000"/>
        </patternFill>
      </fill>
    </dxf>
    <dxf>
      <fill>
        <patternFill patternType="solid">
          <fgColor rgb="FFFCE4E2"/>
          <bgColor rgb="FF000000"/>
        </patternFill>
      </fill>
    </dxf>
    <dxf>
      <fill>
        <patternFill patternType="solid">
          <fgColor rgb="FFFDF0D5"/>
          <bgColor rgb="FF000000"/>
        </patternFill>
      </fill>
    </dxf>
    <dxf>
      <fill>
        <patternFill patternType="solid">
          <fgColor rgb="FFFFF8E1"/>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8E1"/>
      <rgbColor rgb="FFE3F0E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FEFEF"/>
      <rgbColor rgb="FFCCFFCC"/>
      <rgbColor rgb="FFFDF0D5"/>
      <rgbColor rgb="FF99CCFF"/>
      <rgbColor rgb="FFFF99CC"/>
      <rgbColor rgb="FFCC99FF"/>
      <rgbColor rgb="FFFCE4E2"/>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0"/>
    <col collapsed="false" customWidth="true" hidden="false" outlineLevel="0" max="3" min="3" style="0" width="9"/>
    <col collapsed="false" customWidth="true" hidden="false" outlineLevel="0" max="4" min="4" style="0" width="12"/>
    <col collapsed="false" customWidth="true" hidden="false" outlineLevel="0" max="5" min="5" style="0" width="11"/>
    <col collapsed="false" customWidth="true" hidden="false" outlineLevel="0" max="6" min="6" style="0" width="9"/>
    <col collapsed="false" customWidth="true" hidden="false" outlineLevel="0" max="7" min="7" style="0" width="20"/>
    <col collapsed="false" customWidth="true" hidden="false" outlineLevel="0" max="8" min="8" style="0" width="7"/>
    <col collapsed="false" customWidth="true" hidden="false" outlineLevel="0" max="9" min="9" style="0" width="46"/>
    <col collapsed="false" customWidth="true" hidden="false" outlineLevel="0" max="10" min="10" style="0" width="52"/>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row>
    <row r="2" customFormat="false" ht="15" hidden="false" customHeight="false" outlineLevel="0" collapsed="false">
      <c r="A2" s="2" t="s">
        <v>10</v>
      </c>
      <c r="B2" s="3" t="n">
        <v>6600</v>
      </c>
      <c r="C2" s="3" t="s">
        <v>11</v>
      </c>
      <c r="D2" s="3" t="s">
        <v>12</v>
      </c>
      <c r="E2" s="3" t="n">
        <v>0</v>
      </c>
      <c r="F2" s="3"/>
      <c r="G2" s="4" t="s">
        <v>13</v>
      </c>
      <c r="H2" s="3" t="n">
        <v>1</v>
      </c>
      <c r="I2" s="2" t="s">
        <v>14</v>
      </c>
      <c r="J2" s="2" t="s">
        <v>15</v>
      </c>
    </row>
    <row r="3" customFormat="false" ht="15" hidden="false" customHeight="false" outlineLevel="0" collapsed="false">
      <c r="A3" s="2" t="s">
        <v>16</v>
      </c>
      <c r="B3" s="3" t="n">
        <v>2400</v>
      </c>
      <c r="C3" s="3" t="s">
        <v>17</v>
      </c>
      <c r="D3" s="3" t="s">
        <v>18</v>
      </c>
      <c r="E3" s="3" t="n">
        <v>0</v>
      </c>
      <c r="F3" s="3"/>
      <c r="G3" s="4" t="s">
        <v>13</v>
      </c>
      <c r="H3" s="3" t="n">
        <v>1</v>
      </c>
      <c r="I3" s="2" t="s">
        <v>19</v>
      </c>
      <c r="J3" s="2" t="s">
        <v>20</v>
      </c>
    </row>
    <row r="4" customFormat="false" ht="15" hidden="false" customHeight="false" outlineLevel="0" collapsed="false">
      <c r="A4" s="2" t="s">
        <v>21</v>
      </c>
      <c r="B4" s="3" t="n">
        <v>1300</v>
      </c>
      <c r="C4" s="3" t="s">
        <v>22</v>
      </c>
      <c r="D4" s="3" t="s">
        <v>23</v>
      </c>
      <c r="E4" s="3" t="n">
        <v>0</v>
      </c>
      <c r="F4" s="3"/>
      <c r="G4" s="4" t="s">
        <v>13</v>
      </c>
      <c r="H4" s="3" t="n">
        <v>1</v>
      </c>
      <c r="I4" s="2" t="s">
        <v>24</v>
      </c>
      <c r="J4" s="2" t="s">
        <v>25</v>
      </c>
    </row>
    <row r="5" customFormat="false" ht="15" hidden="false" customHeight="false" outlineLevel="0" collapsed="false">
      <c r="A5" s="2" t="s">
        <v>26</v>
      </c>
      <c r="B5" s="3" t="n">
        <v>720</v>
      </c>
      <c r="C5" s="3" t="s">
        <v>11</v>
      </c>
      <c r="D5" s="3" t="s">
        <v>27</v>
      </c>
      <c r="E5" s="3" t="n">
        <v>0</v>
      </c>
      <c r="F5" s="3"/>
      <c r="G5" s="4" t="s">
        <v>13</v>
      </c>
      <c r="H5" s="3" t="n">
        <v>1</v>
      </c>
      <c r="I5" s="2" t="s">
        <v>28</v>
      </c>
      <c r="J5" s="2" t="s">
        <v>29</v>
      </c>
    </row>
    <row r="6" customFormat="false" ht="15" hidden="false" customHeight="false" outlineLevel="0" collapsed="false">
      <c r="A6" s="2" t="s">
        <v>30</v>
      </c>
      <c r="B6" s="3" t="n">
        <v>590</v>
      </c>
      <c r="C6" s="3" t="s">
        <v>31</v>
      </c>
      <c r="D6" s="3" t="s">
        <v>32</v>
      </c>
      <c r="E6" s="3" t="n">
        <v>0</v>
      </c>
      <c r="F6" s="3"/>
      <c r="G6" s="4" t="s">
        <v>13</v>
      </c>
      <c r="H6" s="3" t="n">
        <v>1</v>
      </c>
      <c r="I6" s="2" t="s">
        <v>33</v>
      </c>
      <c r="J6" s="2" t="s">
        <v>34</v>
      </c>
    </row>
    <row r="7" customFormat="false" ht="15" hidden="false" customHeight="false" outlineLevel="0" collapsed="false">
      <c r="A7" s="2" t="s">
        <v>35</v>
      </c>
      <c r="B7" s="3" t="n">
        <v>590</v>
      </c>
      <c r="C7" s="3" t="s">
        <v>36</v>
      </c>
      <c r="D7" s="3" t="s">
        <v>37</v>
      </c>
      <c r="E7" s="3" t="n">
        <v>0</v>
      </c>
      <c r="F7" s="3"/>
      <c r="G7" s="4" t="s">
        <v>13</v>
      </c>
      <c r="H7" s="3" t="n">
        <v>1</v>
      </c>
      <c r="I7" s="2" t="s">
        <v>38</v>
      </c>
      <c r="J7" s="2" t="s">
        <v>39</v>
      </c>
    </row>
    <row r="8" customFormat="false" ht="15" hidden="false" customHeight="false" outlineLevel="0" collapsed="false">
      <c r="A8" s="2" t="s">
        <v>40</v>
      </c>
      <c r="B8" s="3" t="n">
        <v>390</v>
      </c>
      <c r="C8" s="3" t="s">
        <v>41</v>
      </c>
      <c r="D8" s="3" t="s">
        <v>36</v>
      </c>
      <c r="E8" s="3" t="n">
        <v>0</v>
      </c>
      <c r="F8" s="3"/>
      <c r="G8" s="4" t="s">
        <v>13</v>
      </c>
      <c r="H8" s="3" t="n">
        <v>1</v>
      </c>
      <c r="I8" s="2" t="s">
        <v>28</v>
      </c>
      <c r="J8" s="2" t="s">
        <v>42</v>
      </c>
    </row>
    <row r="9" customFormat="false" ht="15" hidden="false" customHeight="false" outlineLevel="0" collapsed="false">
      <c r="A9" s="2" t="s">
        <v>43</v>
      </c>
      <c r="B9" s="3" t="n">
        <v>170</v>
      </c>
      <c r="C9" s="3" t="s">
        <v>44</v>
      </c>
      <c r="D9" s="3" t="s">
        <v>45</v>
      </c>
      <c r="E9" s="3" t="n">
        <v>0</v>
      </c>
      <c r="F9" s="3"/>
      <c r="G9" s="4" t="s">
        <v>13</v>
      </c>
      <c r="H9" s="3" t="n">
        <v>1</v>
      </c>
      <c r="I9" s="2" t="s">
        <v>33</v>
      </c>
      <c r="J9" s="2" t="s">
        <v>46</v>
      </c>
    </row>
    <row r="10" customFormat="false" ht="15" hidden="false" customHeight="false" outlineLevel="0" collapsed="false">
      <c r="A10" s="5" t="s">
        <v>47</v>
      </c>
      <c r="B10" s="6" t="n">
        <v>140</v>
      </c>
      <c r="C10" s="6" t="s">
        <v>48</v>
      </c>
      <c r="D10" s="6" t="s">
        <v>32</v>
      </c>
      <c r="E10" s="6" t="n">
        <v>23</v>
      </c>
      <c r="F10" s="6" t="n">
        <v>40.3</v>
      </c>
      <c r="G10" s="6" t="s">
        <v>49</v>
      </c>
      <c r="H10" s="6" t="n">
        <v>1</v>
      </c>
      <c r="I10" s="5" t="s">
        <v>19</v>
      </c>
      <c r="J10" s="5" t="s">
        <v>50</v>
      </c>
    </row>
    <row r="11" customFormat="false" ht="15" hidden="false" customHeight="false" outlineLevel="0" collapsed="false">
      <c r="A11" s="2" t="s">
        <v>51</v>
      </c>
      <c r="B11" s="3" t="n">
        <v>140</v>
      </c>
      <c r="C11" s="3" t="s">
        <v>52</v>
      </c>
      <c r="D11" s="3" t="s">
        <v>11</v>
      </c>
      <c r="E11" s="3" t="n">
        <v>0</v>
      </c>
      <c r="F11" s="3"/>
      <c r="G11" s="4" t="s">
        <v>13</v>
      </c>
      <c r="H11" s="3" t="n">
        <v>1</v>
      </c>
      <c r="I11" s="2" t="s">
        <v>53</v>
      </c>
      <c r="J11" s="2" t="s">
        <v>54</v>
      </c>
    </row>
    <row r="12" customFormat="false" ht="15" hidden="false" customHeight="false" outlineLevel="0" collapsed="false">
      <c r="A12" s="5" t="s">
        <v>55</v>
      </c>
      <c r="B12" s="6" t="n">
        <v>90</v>
      </c>
      <c r="C12" s="6" t="s">
        <v>56</v>
      </c>
      <c r="D12" s="6" t="s">
        <v>45</v>
      </c>
      <c r="E12" s="6" t="n">
        <v>42</v>
      </c>
      <c r="F12" s="6" t="n">
        <v>34.8</v>
      </c>
      <c r="G12" s="6" t="s">
        <v>49</v>
      </c>
      <c r="H12" s="6" t="n">
        <v>1</v>
      </c>
      <c r="I12" s="5" t="s">
        <v>19</v>
      </c>
      <c r="J12" s="5" t="s">
        <v>50</v>
      </c>
    </row>
    <row r="13" customFormat="false" ht="15" hidden="false" customHeight="false" outlineLevel="0" collapsed="false">
      <c r="A13" s="2" t="s">
        <v>57</v>
      </c>
      <c r="B13" s="3" t="n">
        <v>30</v>
      </c>
      <c r="C13" s="3" t="s">
        <v>58</v>
      </c>
      <c r="D13" s="3" t="s">
        <v>59</v>
      </c>
      <c r="E13" s="3" t="n">
        <v>0</v>
      </c>
      <c r="F13" s="3"/>
      <c r="G13" s="4" t="s">
        <v>13</v>
      </c>
      <c r="H13" s="3" t="n">
        <v>1</v>
      </c>
      <c r="I13" s="2" t="s">
        <v>33</v>
      </c>
      <c r="J13" s="2" t="s">
        <v>60</v>
      </c>
    </row>
    <row r="14" customFormat="false" ht="15" hidden="false" customHeight="false" outlineLevel="0" collapsed="false">
      <c r="A14" s="2" t="s">
        <v>61</v>
      </c>
      <c r="B14" s="3" t="n">
        <v>880</v>
      </c>
      <c r="C14" s="3" t="s">
        <v>56</v>
      </c>
      <c r="D14" s="3" t="s">
        <v>62</v>
      </c>
      <c r="E14" s="3" t="n">
        <v>0</v>
      </c>
      <c r="F14" s="3"/>
      <c r="G14" s="4" t="s">
        <v>13</v>
      </c>
      <c r="H14" s="3" t="n">
        <v>2</v>
      </c>
      <c r="I14" s="2" t="s">
        <v>63</v>
      </c>
      <c r="J14" s="2" t="s">
        <v>64</v>
      </c>
    </row>
    <row r="15" customFormat="false" ht="15" hidden="false" customHeight="false" outlineLevel="0" collapsed="false">
      <c r="A15" s="2" t="s">
        <v>65</v>
      </c>
      <c r="B15" s="3" t="n">
        <v>260</v>
      </c>
      <c r="C15" s="3" t="s">
        <v>66</v>
      </c>
      <c r="D15" s="3" t="s">
        <v>67</v>
      </c>
      <c r="E15" s="3" t="n">
        <v>0</v>
      </c>
      <c r="F15" s="3"/>
      <c r="G15" s="4" t="s">
        <v>13</v>
      </c>
      <c r="H15" s="3" t="n">
        <v>2</v>
      </c>
      <c r="I15" s="2" t="s">
        <v>28</v>
      </c>
      <c r="J15" s="2" t="s">
        <v>68</v>
      </c>
    </row>
    <row r="16" customFormat="false" ht="15" hidden="false" customHeight="false" outlineLevel="0" collapsed="false">
      <c r="A16" s="2" t="s">
        <v>69</v>
      </c>
      <c r="B16" s="3" t="n">
        <v>90</v>
      </c>
      <c r="C16" s="3" t="s">
        <v>58</v>
      </c>
      <c r="D16" s="3" t="s">
        <v>70</v>
      </c>
      <c r="E16" s="3" t="n">
        <v>0</v>
      </c>
      <c r="F16" s="3"/>
      <c r="G16" s="4" t="s">
        <v>13</v>
      </c>
      <c r="H16" s="3" t="n">
        <v>2</v>
      </c>
      <c r="I16" s="2" t="s">
        <v>71</v>
      </c>
      <c r="J16" s="2" t="s">
        <v>72</v>
      </c>
    </row>
    <row r="17" customFormat="false" ht="15" hidden="false" customHeight="false" outlineLevel="0" collapsed="false">
      <c r="A17" s="2" t="s">
        <v>73</v>
      </c>
      <c r="B17" s="3" t="n">
        <v>50</v>
      </c>
      <c r="C17" s="3" t="s">
        <v>56</v>
      </c>
      <c r="D17" s="3" t="s">
        <v>74</v>
      </c>
      <c r="E17" s="3" t="n">
        <v>0</v>
      </c>
      <c r="F17" s="3"/>
      <c r="G17" s="4" t="s">
        <v>13</v>
      </c>
      <c r="H17" s="3" t="n">
        <v>2</v>
      </c>
      <c r="I17" s="2" t="s">
        <v>28</v>
      </c>
      <c r="J17" s="2" t="s">
        <v>75</v>
      </c>
    </row>
    <row r="18" customFormat="false" ht="15" hidden="false" customHeight="false" outlineLevel="0" collapsed="false">
      <c r="A18" s="2" t="s">
        <v>76</v>
      </c>
      <c r="B18" s="3" t="n">
        <v>50</v>
      </c>
      <c r="C18" s="3" t="s">
        <v>56</v>
      </c>
      <c r="D18" s="3" t="s">
        <v>23</v>
      </c>
      <c r="E18" s="3" t="n">
        <v>0</v>
      </c>
      <c r="F18" s="3"/>
      <c r="G18" s="4" t="s">
        <v>13</v>
      </c>
      <c r="H18" s="3" t="n">
        <v>2</v>
      </c>
      <c r="I18" s="2" t="s">
        <v>71</v>
      </c>
      <c r="J18" s="2" t="s">
        <v>77</v>
      </c>
    </row>
    <row r="19" customFormat="false" ht="15" hidden="false" customHeight="false" outlineLevel="0" collapsed="false">
      <c r="A19" s="2" t="s">
        <v>78</v>
      </c>
      <c r="B19" s="3" t="n">
        <v>40</v>
      </c>
      <c r="C19" s="3" t="s">
        <v>56</v>
      </c>
      <c r="D19" s="3" t="s">
        <v>79</v>
      </c>
      <c r="E19" s="3" t="n">
        <v>0</v>
      </c>
      <c r="F19" s="3"/>
      <c r="G19" s="4" t="s">
        <v>13</v>
      </c>
      <c r="H19" s="3" t="n">
        <v>2</v>
      </c>
      <c r="I19" s="2" t="s">
        <v>28</v>
      </c>
      <c r="J19" s="2" t="s">
        <v>80</v>
      </c>
    </row>
    <row r="20" customFormat="false" ht="15" hidden="false" customHeight="false" outlineLevel="0" collapsed="false">
      <c r="A20" s="2" t="s">
        <v>81</v>
      </c>
      <c r="B20" s="3" t="n">
        <v>30</v>
      </c>
      <c r="C20" s="3" t="s">
        <v>82</v>
      </c>
      <c r="D20" s="3" t="s">
        <v>83</v>
      </c>
      <c r="E20" s="3" t="n">
        <v>0</v>
      </c>
      <c r="F20" s="3"/>
      <c r="G20" s="4" t="s">
        <v>13</v>
      </c>
      <c r="H20" s="3" t="n">
        <v>2</v>
      </c>
      <c r="I20" s="2" t="s">
        <v>28</v>
      </c>
      <c r="J20" s="2" t="s">
        <v>84</v>
      </c>
    </row>
    <row r="21" customFormat="false" ht="15" hidden="false" customHeight="false" outlineLevel="0" collapsed="false">
      <c r="A21" s="5" t="s">
        <v>85</v>
      </c>
      <c r="B21" s="6" t="n">
        <v>10</v>
      </c>
      <c r="C21" s="6" t="s">
        <v>86</v>
      </c>
      <c r="D21" s="6" t="s">
        <v>87</v>
      </c>
      <c r="E21" s="6" t="n">
        <v>15</v>
      </c>
      <c r="F21" s="6" t="n">
        <v>45.3</v>
      </c>
      <c r="G21" s="6" t="s">
        <v>49</v>
      </c>
      <c r="H21" s="6" t="n">
        <v>2</v>
      </c>
      <c r="I21" s="5" t="s">
        <v>71</v>
      </c>
      <c r="J21" s="5" t="s">
        <v>88</v>
      </c>
    </row>
    <row r="22" customFormat="false" ht="15" hidden="false" customHeight="false" outlineLevel="0" collapsed="false">
      <c r="A22" s="2" t="s">
        <v>89</v>
      </c>
      <c r="B22" s="3" t="n">
        <v>10</v>
      </c>
      <c r="C22" s="3" t="s">
        <v>56</v>
      </c>
      <c r="D22" s="3" t="s">
        <v>56</v>
      </c>
      <c r="E22" s="3" t="n">
        <v>0</v>
      </c>
      <c r="F22" s="3"/>
      <c r="G22" s="4" t="s">
        <v>13</v>
      </c>
      <c r="H22" s="3" t="n">
        <v>2</v>
      </c>
      <c r="I22" s="2" t="s">
        <v>28</v>
      </c>
      <c r="J22" s="2" t="s">
        <v>90</v>
      </c>
    </row>
    <row r="23" customFormat="false" ht="15" hidden="false" customHeight="false" outlineLevel="0" collapsed="false">
      <c r="A23" s="2" t="s">
        <v>91</v>
      </c>
      <c r="B23" s="3" t="n">
        <v>10</v>
      </c>
      <c r="C23" s="3" t="s">
        <v>92</v>
      </c>
      <c r="D23" s="3" t="s">
        <v>93</v>
      </c>
      <c r="E23" s="3" t="n">
        <v>0</v>
      </c>
      <c r="F23" s="3"/>
      <c r="G23" s="4" t="s">
        <v>13</v>
      </c>
      <c r="H23" s="3" t="n">
        <v>2</v>
      </c>
      <c r="I23" s="2" t="s">
        <v>28</v>
      </c>
      <c r="J23" s="2" t="s">
        <v>94</v>
      </c>
    </row>
    <row r="24" customFormat="false" ht="15" hidden="false" customHeight="false" outlineLevel="0" collapsed="false">
      <c r="A24" s="2" t="s">
        <v>95</v>
      </c>
      <c r="B24" s="3" t="n">
        <v>1300</v>
      </c>
      <c r="C24" s="3" t="s">
        <v>96</v>
      </c>
      <c r="D24" s="3" t="s">
        <v>97</v>
      </c>
      <c r="E24" s="3" t="n">
        <v>0</v>
      </c>
      <c r="F24" s="3"/>
      <c r="G24" s="4" t="s">
        <v>13</v>
      </c>
      <c r="H24" s="3" t="n">
        <v>3</v>
      </c>
      <c r="I24" s="2" t="s">
        <v>24</v>
      </c>
      <c r="J24" s="2" t="s">
        <v>98</v>
      </c>
    </row>
    <row r="25" customFormat="false" ht="15" hidden="false" customHeight="false" outlineLevel="0" collapsed="false">
      <c r="A25" s="7" t="s">
        <v>99</v>
      </c>
      <c r="B25" s="8" t="n">
        <v>1000</v>
      </c>
      <c r="C25" s="8" t="s">
        <v>100</v>
      </c>
      <c r="D25" s="8" t="s">
        <v>56</v>
      </c>
      <c r="E25" s="8" t="n">
        <v>75</v>
      </c>
      <c r="F25" s="8" t="n">
        <v>78.6</v>
      </c>
      <c r="G25" s="8" t="s">
        <v>101</v>
      </c>
      <c r="H25" s="8" t="n">
        <v>3</v>
      </c>
      <c r="I25" s="7" t="s">
        <v>24</v>
      </c>
      <c r="J25" s="7" t="s">
        <v>102</v>
      </c>
    </row>
    <row r="26" customFormat="false" ht="15" hidden="false" customHeight="false" outlineLevel="0" collapsed="false">
      <c r="A26" s="2" t="s">
        <v>103</v>
      </c>
      <c r="B26" s="3" t="n">
        <v>720</v>
      </c>
      <c r="C26" s="3" t="s">
        <v>104</v>
      </c>
      <c r="D26" s="3" t="s">
        <v>105</v>
      </c>
      <c r="E26" s="3" t="n">
        <v>0</v>
      </c>
      <c r="F26" s="3"/>
      <c r="G26" s="4" t="s">
        <v>13</v>
      </c>
      <c r="H26" s="3" t="n">
        <v>3</v>
      </c>
      <c r="I26" s="2" t="s">
        <v>24</v>
      </c>
      <c r="J26" s="2" t="s">
        <v>106</v>
      </c>
    </row>
    <row r="27" customFormat="false" ht="15" hidden="false" customHeight="false" outlineLevel="0" collapsed="false">
      <c r="A27" s="2" t="s">
        <v>107</v>
      </c>
      <c r="B27" s="3" t="n">
        <v>260</v>
      </c>
      <c r="C27" s="3" t="s">
        <v>108</v>
      </c>
      <c r="D27" s="3" t="s">
        <v>109</v>
      </c>
      <c r="E27" s="3" t="n">
        <v>0</v>
      </c>
      <c r="F27" s="3"/>
      <c r="G27" s="4" t="s">
        <v>13</v>
      </c>
      <c r="H27" s="3" t="n">
        <v>3</v>
      </c>
      <c r="I27" s="2" t="s">
        <v>24</v>
      </c>
      <c r="J27" s="2" t="s">
        <v>110</v>
      </c>
    </row>
    <row r="28" customFormat="false" ht="15" hidden="false" customHeight="false" outlineLevel="0" collapsed="false">
      <c r="A28" s="2" t="s">
        <v>111</v>
      </c>
      <c r="B28" s="3" t="n">
        <v>170</v>
      </c>
      <c r="C28" s="3" t="s">
        <v>112</v>
      </c>
      <c r="D28" s="3" t="s">
        <v>27</v>
      </c>
      <c r="E28" s="3" t="n">
        <v>0</v>
      </c>
      <c r="F28" s="3"/>
      <c r="G28" s="4" t="s">
        <v>13</v>
      </c>
      <c r="H28" s="3" t="n">
        <v>3</v>
      </c>
      <c r="I28" s="2" t="s">
        <v>24</v>
      </c>
      <c r="J28" s="2" t="s">
        <v>113</v>
      </c>
    </row>
    <row r="29" customFormat="false" ht="15" hidden="false" customHeight="false" outlineLevel="0" collapsed="false">
      <c r="A29" s="2" t="s">
        <v>114</v>
      </c>
      <c r="B29" s="3" t="n">
        <v>140</v>
      </c>
      <c r="C29" s="3" t="s">
        <v>115</v>
      </c>
      <c r="D29" s="3" t="s">
        <v>27</v>
      </c>
      <c r="E29" s="3" t="n">
        <v>0</v>
      </c>
      <c r="F29" s="3"/>
      <c r="G29" s="4" t="s">
        <v>13</v>
      </c>
      <c r="H29" s="3" t="n">
        <v>3</v>
      </c>
      <c r="I29" s="2" t="s">
        <v>24</v>
      </c>
      <c r="J29" s="2" t="s">
        <v>116</v>
      </c>
    </row>
    <row r="30" customFormat="false" ht="15" hidden="false" customHeight="false" outlineLevel="0" collapsed="false">
      <c r="A30" s="2" t="s">
        <v>117</v>
      </c>
      <c r="B30" s="3" t="n">
        <v>50</v>
      </c>
      <c r="C30" s="3" t="s">
        <v>118</v>
      </c>
      <c r="D30" s="3" t="s">
        <v>119</v>
      </c>
      <c r="E30" s="3" t="n">
        <v>0</v>
      </c>
      <c r="F30" s="3"/>
      <c r="G30" s="4" t="s">
        <v>13</v>
      </c>
      <c r="H30" s="3" t="n">
        <v>3</v>
      </c>
      <c r="I30" s="2" t="s">
        <v>24</v>
      </c>
      <c r="J30" s="2" t="s">
        <v>120</v>
      </c>
    </row>
    <row r="31" customFormat="false" ht="15" hidden="false" customHeight="false" outlineLevel="0" collapsed="false">
      <c r="A31" s="5" t="s">
        <v>121</v>
      </c>
      <c r="B31" s="6" t="n">
        <v>320</v>
      </c>
      <c r="C31" s="6" t="s">
        <v>122</v>
      </c>
      <c r="D31" s="6" t="n">
        <v>8</v>
      </c>
      <c r="E31" s="6" t="n">
        <v>26</v>
      </c>
      <c r="F31" s="6" t="n">
        <v>23.3</v>
      </c>
      <c r="G31" s="6" t="s">
        <v>49</v>
      </c>
      <c r="H31" s="6" t="n">
        <v>4</v>
      </c>
      <c r="I31" s="5" t="s">
        <v>123</v>
      </c>
      <c r="J31" s="5" t="s">
        <v>124</v>
      </c>
    </row>
    <row r="32" customFormat="false" ht="15" hidden="false" customHeight="false" outlineLevel="0" collapsed="false">
      <c r="A32" s="2" t="s">
        <v>125</v>
      </c>
      <c r="B32" s="3" t="n">
        <v>260</v>
      </c>
      <c r="C32" s="3" t="s">
        <v>126</v>
      </c>
      <c r="D32" s="3" t="n">
        <v>4</v>
      </c>
      <c r="E32" s="3" t="n">
        <v>0</v>
      </c>
      <c r="F32" s="3"/>
      <c r="G32" s="4" t="s">
        <v>13</v>
      </c>
      <c r="H32" s="3" t="n">
        <v>4</v>
      </c>
      <c r="I32" s="2" t="s">
        <v>127</v>
      </c>
      <c r="J32" s="2" t="s">
        <v>128</v>
      </c>
    </row>
    <row r="33" customFormat="false" ht="15" hidden="false" customHeight="false" outlineLevel="0" collapsed="false">
      <c r="A33" s="9" t="s">
        <v>129</v>
      </c>
      <c r="B33" s="10" t="n">
        <v>110</v>
      </c>
      <c r="C33" s="10" t="s">
        <v>130</v>
      </c>
      <c r="D33" s="10" t="s">
        <v>56</v>
      </c>
      <c r="E33" s="10" t="n">
        <v>138</v>
      </c>
      <c r="F33" s="10" t="n">
        <v>16.9</v>
      </c>
      <c r="G33" s="10" t="s">
        <v>131</v>
      </c>
      <c r="H33" s="10" t="n">
        <v>4</v>
      </c>
      <c r="I33" s="9" t="s">
        <v>132</v>
      </c>
      <c r="J33" s="9" t="s">
        <v>133</v>
      </c>
    </row>
    <row r="34" customFormat="false" ht="15" hidden="false" customHeight="false" outlineLevel="0" collapsed="false">
      <c r="A34" s="5" t="s">
        <v>134</v>
      </c>
      <c r="B34" s="6" t="n">
        <v>110</v>
      </c>
      <c r="C34" s="6" t="s">
        <v>135</v>
      </c>
      <c r="D34" s="6" t="n">
        <v>19</v>
      </c>
      <c r="E34" s="6" t="n">
        <v>3</v>
      </c>
      <c r="F34" s="6" t="n">
        <v>29</v>
      </c>
      <c r="G34" s="6" t="s">
        <v>49</v>
      </c>
      <c r="H34" s="6" t="n">
        <v>4</v>
      </c>
      <c r="I34" s="5" t="s">
        <v>136</v>
      </c>
      <c r="J34" s="5" t="s">
        <v>137</v>
      </c>
    </row>
    <row r="35" customFormat="false" ht="15" hidden="false" customHeight="false" outlineLevel="0" collapsed="false">
      <c r="A35" s="9" t="s">
        <v>138</v>
      </c>
      <c r="B35" s="10" t="n">
        <v>90</v>
      </c>
      <c r="C35" s="10" t="s">
        <v>115</v>
      </c>
      <c r="D35" s="10" t="n">
        <v>35</v>
      </c>
      <c r="E35" s="10" t="n">
        <v>16</v>
      </c>
      <c r="F35" s="10" t="n">
        <v>19.3</v>
      </c>
      <c r="G35" s="10" t="s">
        <v>131</v>
      </c>
      <c r="H35" s="10" t="n">
        <v>4</v>
      </c>
      <c r="I35" s="9" t="s">
        <v>123</v>
      </c>
      <c r="J35" s="9" t="s">
        <v>133</v>
      </c>
    </row>
    <row r="36" customFormat="false" ht="15" hidden="false" customHeight="false" outlineLevel="0" collapsed="false">
      <c r="A36" s="9" t="s">
        <v>139</v>
      </c>
      <c r="B36" s="10" t="n">
        <v>70</v>
      </c>
      <c r="C36" s="10" t="s">
        <v>140</v>
      </c>
      <c r="D36" s="10" t="n">
        <v>3</v>
      </c>
      <c r="E36" s="10" t="n">
        <v>62</v>
      </c>
      <c r="F36" s="10" t="n">
        <v>15</v>
      </c>
      <c r="G36" s="10" t="s">
        <v>131</v>
      </c>
      <c r="H36" s="10" t="n">
        <v>4</v>
      </c>
      <c r="I36" s="9" t="s">
        <v>132</v>
      </c>
      <c r="J36" s="9" t="s">
        <v>133</v>
      </c>
    </row>
    <row r="37" customFormat="false" ht="15" hidden="false" customHeight="false" outlineLevel="0" collapsed="false">
      <c r="A37" s="5" t="s">
        <v>141</v>
      </c>
      <c r="B37" s="6" t="n">
        <v>50</v>
      </c>
      <c r="C37" s="6" t="s">
        <v>140</v>
      </c>
      <c r="D37" s="6" t="s">
        <v>56</v>
      </c>
      <c r="E37" s="6" t="n">
        <v>6</v>
      </c>
      <c r="F37" s="6" t="n">
        <v>47</v>
      </c>
      <c r="G37" s="6" t="s">
        <v>49</v>
      </c>
      <c r="H37" s="6" t="n">
        <v>4</v>
      </c>
      <c r="I37" s="5" t="s">
        <v>142</v>
      </c>
      <c r="J37" s="5" t="s">
        <v>143</v>
      </c>
    </row>
    <row r="38" customFormat="false" ht="15" hidden="false" customHeight="false" outlineLevel="0" collapsed="false">
      <c r="A38" s="9" t="s">
        <v>144</v>
      </c>
      <c r="B38" s="10" t="n">
        <v>40</v>
      </c>
      <c r="C38" s="10" t="s">
        <v>115</v>
      </c>
      <c r="D38" s="10" t="s">
        <v>56</v>
      </c>
      <c r="E38" s="10" t="n">
        <v>112</v>
      </c>
      <c r="F38" s="10" t="n">
        <v>10</v>
      </c>
      <c r="G38" s="10" t="s">
        <v>131</v>
      </c>
      <c r="H38" s="10" t="n">
        <v>4</v>
      </c>
      <c r="I38" s="9" t="s">
        <v>132</v>
      </c>
      <c r="J38" s="9" t="s">
        <v>133</v>
      </c>
    </row>
    <row r="39" customFormat="false" ht="15" hidden="false" customHeight="false" outlineLevel="0" collapsed="false">
      <c r="A39" s="9" t="s">
        <v>145</v>
      </c>
      <c r="B39" s="10" t="n">
        <v>10</v>
      </c>
      <c r="C39" s="10" t="s">
        <v>56</v>
      </c>
      <c r="D39" s="10" t="s">
        <v>56</v>
      </c>
      <c r="E39" s="10" t="n">
        <v>4</v>
      </c>
      <c r="F39" s="10" t="n">
        <v>13.8</v>
      </c>
      <c r="G39" s="10" t="s">
        <v>131</v>
      </c>
      <c r="H39" s="10" t="n">
        <v>4</v>
      </c>
      <c r="I39" s="9" t="s">
        <v>146</v>
      </c>
      <c r="J39" s="9" t="s">
        <v>147</v>
      </c>
    </row>
    <row r="40" customFormat="false" ht="15" hidden="false" customHeight="false" outlineLevel="0" collapsed="false">
      <c r="A40" s="2" t="s">
        <v>148</v>
      </c>
      <c r="B40" s="3" t="n">
        <v>10</v>
      </c>
      <c r="C40" s="3" t="s">
        <v>56</v>
      </c>
      <c r="D40" s="3" t="s">
        <v>56</v>
      </c>
      <c r="E40" s="3" t="n">
        <v>0</v>
      </c>
      <c r="F40" s="3"/>
      <c r="G40" s="4" t="s">
        <v>13</v>
      </c>
      <c r="H40" s="3" t="n">
        <v>4</v>
      </c>
      <c r="I40" s="2" t="s">
        <v>149</v>
      </c>
      <c r="J40" s="2" t="s">
        <v>150</v>
      </c>
    </row>
    <row r="41" customFormat="false" ht="15" hidden="false" customHeight="false" outlineLevel="0" collapsed="false">
      <c r="A41" s="2" t="s">
        <v>151</v>
      </c>
      <c r="B41" s="3" t="n">
        <v>10</v>
      </c>
      <c r="C41" s="3" t="s">
        <v>82</v>
      </c>
      <c r="D41" s="3" t="s">
        <v>56</v>
      </c>
      <c r="E41" s="3" t="n">
        <v>0</v>
      </c>
      <c r="F41" s="3"/>
      <c r="G41" s="4" t="s">
        <v>13</v>
      </c>
      <c r="H41" s="3" t="n">
        <v>4</v>
      </c>
      <c r="I41" s="2" t="s">
        <v>152</v>
      </c>
      <c r="J41" s="2" t="s">
        <v>150</v>
      </c>
    </row>
    <row r="42" customFormat="false" ht="15" hidden="false" customHeight="false" outlineLevel="0" collapsed="false">
      <c r="A42" s="11" t="s">
        <v>153</v>
      </c>
      <c r="B42" s="12"/>
      <c r="C42" s="12"/>
      <c r="D42" s="12"/>
      <c r="E42" s="12" t="n">
        <v>0</v>
      </c>
      <c r="F42" s="12"/>
      <c r="G42" s="12" t="s">
        <v>154</v>
      </c>
      <c r="H42" s="12" t="n">
        <v>9</v>
      </c>
      <c r="I42" s="11" t="s">
        <v>155</v>
      </c>
      <c r="J42" s="11" t="s">
        <v>156</v>
      </c>
    </row>
    <row r="43" customFormat="false" ht="15" hidden="false" customHeight="false" outlineLevel="0" collapsed="false">
      <c r="A43" s="11" t="s">
        <v>157</v>
      </c>
      <c r="B43" s="12"/>
      <c r="C43" s="12"/>
      <c r="D43" s="12"/>
      <c r="E43" s="12" t="n">
        <v>0</v>
      </c>
      <c r="F43" s="12"/>
      <c r="G43" s="12" t="s">
        <v>154</v>
      </c>
      <c r="H43" s="12" t="n">
        <v>9</v>
      </c>
      <c r="I43" s="11" t="s">
        <v>155</v>
      </c>
      <c r="J43" s="11" t="s">
        <v>156</v>
      </c>
    </row>
    <row r="44" customFormat="false" ht="15" hidden="false" customHeight="false" outlineLevel="0" collapsed="false">
      <c r="A44" s="11" t="s">
        <v>158</v>
      </c>
      <c r="B44" s="12"/>
      <c r="C44" s="12"/>
      <c r="D44" s="12"/>
      <c r="E44" s="12" t="n">
        <v>0</v>
      </c>
      <c r="F44" s="12"/>
      <c r="G44" s="12" t="s">
        <v>154</v>
      </c>
      <c r="H44" s="12" t="n">
        <v>9</v>
      </c>
      <c r="I44" s="11" t="s">
        <v>155</v>
      </c>
      <c r="J44" s="11" t="s">
        <v>156</v>
      </c>
    </row>
    <row r="45" customFormat="false" ht="15" hidden="false" customHeight="false" outlineLevel="0" collapsed="false">
      <c r="A45" s="11" t="s">
        <v>159</v>
      </c>
      <c r="B45" s="12"/>
      <c r="C45" s="12"/>
      <c r="D45" s="12"/>
      <c r="E45" s="12" t="n">
        <v>0</v>
      </c>
      <c r="F45" s="12"/>
      <c r="G45" s="12" t="s">
        <v>154</v>
      </c>
      <c r="H45" s="12" t="n">
        <v>9</v>
      </c>
      <c r="I45" s="11" t="s">
        <v>155</v>
      </c>
      <c r="J45" s="11" t="s">
        <v>156</v>
      </c>
    </row>
    <row r="46" customFormat="false" ht="15" hidden="false" customHeight="false" outlineLevel="0" collapsed="false">
      <c r="A46" s="11" t="s">
        <v>160</v>
      </c>
      <c r="B46" s="12"/>
      <c r="C46" s="12"/>
      <c r="D46" s="12"/>
      <c r="E46" s="12" t="n">
        <v>0</v>
      </c>
      <c r="F46" s="12"/>
      <c r="G46" s="12" t="s">
        <v>154</v>
      </c>
      <c r="H46" s="12" t="n">
        <v>9</v>
      </c>
      <c r="I46" s="11" t="s">
        <v>155</v>
      </c>
      <c r="J46" s="11" t="s">
        <v>156</v>
      </c>
    </row>
    <row r="47" customFormat="false" ht="15" hidden="false" customHeight="false" outlineLevel="0" collapsed="false">
      <c r="A47" s="11" t="s">
        <v>161</v>
      </c>
      <c r="B47" s="12"/>
      <c r="C47" s="12"/>
      <c r="D47" s="12"/>
      <c r="E47" s="12" t="n">
        <v>0</v>
      </c>
      <c r="F47" s="12"/>
      <c r="G47" s="12" t="s">
        <v>154</v>
      </c>
      <c r="H47" s="12" t="n">
        <v>9</v>
      </c>
      <c r="I47" s="11" t="s">
        <v>155</v>
      </c>
      <c r="J47" s="11" t="s">
        <v>156</v>
      </c>
    </row>
    <row r="48" customFormat="false" ht="15" hidden="false" customHeight="false" outlineLevel="0" collapsed="false">
      <c r="A48" s="11" t="s">
        <v>162</v>
      </c>
      <c r="B48" s="12"/>
      <c r="C48" s="12"/>
      <c r="D48" s="12"/>
      <c r="E48" s="12" t="n">
        <v>0</v>
      </c>
      <c r="F48" s="12"/>
      <c r="G48" s="12" t="s">
        <v>154</v>
      </c>
      <c r="H48" s="12" t="n">
        <v>9</v>
      </c>
      <c r="I48" s="11" t="s">
        <v>155</v>
      </c>
      <c r="J48" s="11" t="s">
        <v>156</v>
      </c>
    </row>
    <row r="49" customFormat="false" ht="15" hidden="false" customHeight="false" outlineLevel="0" collapsed="false">
      <c r="A49" s="11" t="s">
        <v>163</v>
      </c>
      <c r="B49" s="12"/>
      <c r="C49" s="12"/>
      <c r="D49" s="12"/>
      <c r="E49" s="12" t="n">
        <v>0</v>
      </c>
      <c r="F49" s="12"/>
      <c r="G49" s="12" t="s">
        <v>154</v>
      </c>
      <c r="H49" s="12" t="n">
        <v>9</v>
      </c>
      <c r="I49" s="11" t="s">
        <v>155</v>
      </c>
      <c r="J49" s="11" t="s">
        <v>156</v>
      </c>
    </row>
    <row r="50" customFormat="false" ht="15" hidden="false" customHeight="false" outlineLevel="0" collapsed="false">
      <c r="A50" s="11" t="s">
        <v>164</v>
      </c>
      <c r="B50" s="12"/>
      <c r="C50" s="12"/>
      <c r="D50" s="12"/>
      <c r="E50" s="12" t="n">
        <v>0</v>
      </c>
      <c r="F50" s="12"/>
      <c r="G50" s="12" t="s">
        <v>154</v>
      </c>
      <c r="H50" s="12" t="n">
        <v>9</v>
      </c>
      <c r="I50" s="11" t="s">
        <v>155</v>
      </c>
      <c r="J50" s="11" t="s">
        <v>156</v>
      </c>
    </row>
    <row r="51" customFormat="false" ht="15" hidden="false" customHeight="false" outlineLevel="0" collapsed="false">
      <c r="A51" s="11" t="s">
        <v>165</v>
      </c>
      <c r="B51" s="12"/>
      <c r="C51" s="12"/>
      <c r="D51" s="12"/>
      <c r="E51" s="12" t="n">
        <v>0</v>
      </c>
      <c r="F51" s="12"/>
      <c r="G51" s="12" t="s">
        <v>154</v>
      </c>
      <c r="H51" s="12" t="n">
        <v>9</v>
      </c>
      <c r="I51" s="11" t="s">
        <v>155</v>
      </c>
      <c r="J51" s="11" t="s">
        <v>156</v>
      </c>
    </row>
    <row r="52" customFormat="false" ht="15" hidden="false" customHeight="false" outlineLevel="0" collapsed="false">
      <c r="A52" s="11" t="s">
        <v>166</v>
      </c>
      <c r="B52" s="12"/>
      <c r="C52" s="12"/>
      <c r="D52" s="12"/>
      <c r="E52" s="12" t="n">
        <v>0</v>
      </c>
      <c r="F52" s="12"/>
      <c r="G52" s="12" t="s">
        <v>154</v>
      </c>
      <c r="H52" s="12" t="n">
        <v>9</v>
      </c>
      <c r="I52" s="11" t="s">
        <v>155</v>
      </c>
      <c r="J52" s="11" t="s">
        <v>156</v>
      </c>
    </row>
    <row r="53" customFormat="false" ht="15" hidden="false" customHeight="false" outlineLevel="0" collapsed="false">
      <c r="A53" s="11" t="s">
        <v>167</v>
      </c>
      <c r="B53" s="12"/>
      <c r="C53" s="12"/>
      <c r="D53" s="12"/>
      <c r="E53" s="12" t="n">
        <v>0</v>
      </c>
      <c r="F53" s="12"/>
      <c r="G53" s="12" t="s">
        <v>154</v>
      </c>
      <c r="H53" s="12" t="n">
        <v>9</v>
      </c>
      <c r="I53" s="11" t="s">
        <v>155</v>
      </c>
      <c r="J53" s="11" t="s">
        <v>156</v>
      </c>
    </row>
    <row r="54" customFormat="false" ht="15" hidden="false" customHeight="false" outlineLevel="0" collapsed="false">
      <c r="A54" s="11" t="s">
        <v>168</v>
      </c>
      <c r="B54" s="12"/>
      <c r="C54" s="12"/>
      <c r="D54" s="12"/>
      <c r="E54" s="12" t="n">
        <v>0</v>
      </c>
      <c r="F54" s="12"/>
      <c r="G54" s="12" t="s">
        <v>154</v>
      </c>
      <c r="H54" s="12" t="n">
        <v>9</v>
      </c>
      <c r="I54" s="11" t="s">
        <v>155</v>
      </c>
      <c r="J54" s="11" t="s">
        <v>156</v>
      </c>
    </row>
    <row r="55" customFormat="false" ht="15" hidden="false" customHeight="false" outlineLevel="0" collapsed="false">
      <c r="A55" s="11" t="s">
        <v>169</v>
      </c>
      <c r="B55" s="12"/>
      <c r="C55" s="12"/>
      <c r="D55" s="12"/>
      <c r="E55" s="12" t="n">
        <v>0</v>
      </c>
      <c r="F55" s="12"/>
      <c r="G55" s="12" t="s">
        <v>154</v>
      </c>
      <c r="H55" s="12" t="n">
        <v>9</v>
      </c>
      <c r="I55" s="11" t="s">
        <v>155</v>
      </c>
      <c r="J55" s="11" t="s">
        <v>156</v>
      </c>
    </row>
    <row r="56" customFormat="false" ht="15" hidden="false" customHeight="false" outlineLevel="0" collapsed="false">
      <c r="A56" s="2" t="s">
        <v>170</v>
      </c>
      <c r="B56" s="3" t="n">
        <v>0</v>
      </c>
      <c r="C56" s="3" t="s">
        <v>56</v>
      </c>
      <c r="D56" s="3" t="s">
        <v>56</v>
      </c>
      <c r="E56" s="3" t="n">
        <v>0</v>
      </c>
      <c r="F56" s="3"/>
      <c r="G56" s="4" t="s">
        <v>13</v>
      </c>
      <c r="H56" s="3" t="n">
        <v>9</v>
      </c>
      <c r="I56" s="2" t="s">
        <v>155</v>
      </c>
      <c r="J56" s="2" t="s">
        <v>156</v>
      </c>
    </row>
    <row r="57" customFormat="false" ht="15" hidden="false" customHeight="false" outlineLevel="0" collapsed="false">
      <c r="A57" s="11" t="s">
        <v>171</v>
      </c>
      <c r="B57" s="12"/>
      <c r="C57" s="12"/>
      <c r="D57" s="12"/>
      <c r="E57" s="12" t="n">
        <v>0</v>
      </c>
      <c r="F57" s="12"/>
      <c r="G57" s="12" t="s">
        <v>154</v>
      </c>
      <c r="H57" s="12" t="n">
        <v>9</v>
      </c>
      <c r="I57" s="11" t="s">
        <v>155</v>
      </c>
      <c r="J57" s="11" t="s">
        <v>156</v>
      </c>
    </row>
    <row r="58" customFormat="false" ht="15" hidden="false" customHeight="false" outlineLevel="0" collapsed="false">
      <c r="A58" s="11" t="s">
        <v>172</v>
      </c>
      <c r="B58" s="12"/>
      <c r="C58" s="12"/>
      <c r="D58" s="12"/>
      <c r="E58" s="12" t="n">
        <v>0</v>
      </c>
      <c r="F58" s="12"/>
      <c r="G58" s="12" t="s">
        <v>154</v>
      </c>
      <c r="H58" s="12" t="n">
        <v>9</v>
      </c>
      <c r="I58" s="11" t="s">
        <v>155</v>
      </c>
      <c r="J58" s="11" t="s">
        <v>156</v>
      </c>
    </row>
    <row r="59" customFormat="false" ht="15" hidden="false" customHeight="false" outlineLevel="0" collapsed="false">
      <c r="A59" s="11" t="s">
        <v>173</v>
      </c>
      <c r="B59" s="12"/>
      <c r="C59" s="12"/>
      <c r="D59" s="12"/>
      <c r="E59" s="12" t="n">
        <v>0</v>
      </c>
      <c r="F59" s="12"/>
      <c r="G59" s="12" t="s">
        <v>154</v>
      </c>
      <c r="H59" s="12" t="n">
        <v>9</v>
      </c>
      <c r="I59" s="11" t="s">
        <v>155</v>
      </c>
      <c r="J59" s="11" t="s">
        <v>156</v>
      </c>
    </row>
    <row r="60" customFormat="false" ht="15" hidden="false" customHeight="false" outlineLevel="0" collapsed="false">
      <c r="A60" s="11" t="s">
        <v>174</v>
      </c>
      <c r="B60" s="12"/>
      <c r="C60" s="12"/>
      <c r="D60" s="12"/>
      <c r="E60" s="12" t="n">
        <v>0</v>
      </c>
      <c r="F60" s="12"/>
      <c r="G60" s="12" t="s">
        <v>154</v>
      </c>
      <c r="H60" s="12" t="n">
        <v>9</v>
      </c>
      <c r="I60" s="11" t="s">
        <v>155</v>
      </c>
      <c r="J60" s="11" t="s">
        <v>156</v>
      </c>
    </row>
    <row r="61" customFormat="false" ht="15" hidden="false" customHeight="false" outlineLevel="0" collapsed="false">
      <c r="A61" s="11" t="s">
        <v>175</v>
      </c>
      <c r="B61" s="12"/>
      <c r="C61" s="12"/>
      <c r="D61" s="12"/>
      <c r="E61" s="12" t="n">
        <v>0</v>
      </c>
      <c r="F61" s="12"/>
      <c r="G61" s="12" t="s">
        <v>154</v>
      </c>
      <c r="H61" s="12" t="n">
        <v>9</v>
      </c>
      <c r="I61" s="11" t="s">
        <v>155</v>
      </c>
      <c r="J61" s="11" t="s">
        <v>156</v>
      </c>
    </row>
    <row r="62" customFormat="false" ht="15" hidden="false" customHeight="false" outlineLevel="0" collapsed="false">
      <c r="A62" s="11" t="s">
        <v>176</v>
      </c>
      <c r="B62" s="12"/>
      <c r="C62" s="12"/>
      <c r="D62" s="12"/>
      <c r="E62" s="12" t="n">
        <v>0</v>
      </c>
      <c r="F62" s="12"/>
      <c r="G62" s="12" t="s">
        <v>154</v>
      </c>
      <c r="H62" s="12" t="n">
        <v>9</v>
      </c>
      <c r="I62" s="11" t="s">
        <v>155</v>
      </c>
      <c r="J62" s="11" t="s">
        <v>156</v>
      </c>
    </row>
    <row r="63" customFormat="false" ht="15" hidden="false" customHeight="false" outlineLevel="0" collapsed="false">
      <c r="A63" s="11" t="s">
        <v>177</v>
      </c>
      <c r="B63" s="12"/>
      <c r="C63" s="12"/>
      <c r="D63" s="12"/>
      <c r="E63" s="12" t="n">
        <v>0</v>
      </c>
      <c r="F63" s="12"/>
      <c r="G63" s="12" t="s">
        <v>154</v>
      </c>
      <c r="H63" s="12" t="n">
        <v>9</v>
      </c>
      <c r="I63" s="11" t="s">
        <v>155</v>
      </c>
      <c r="J63" s="11" t="s">
        <v>156</v>
      </c>
    </row>
    <row r="64" customFormat="false" ht="15" hidden="false" customHeight="false" outlineLevel="0" collapsed="false">
      <c r="A64" s="11" t="s">
        <v>178</v>
      </c>
      <c r="B64" s="12"/>
      <c r="C64" s="12"/>
      <c r="D64" s="12"/>
      <c r="E64" s="12" t="n">
        <v>0</v>
      </c>
      <c r="F64" s="12"/>
      <c r="G64" s="12" t="s">
        <v>154</v>
      </c>
      <c r="H64" s="12" t="n">
        <v>9</v>
      </c>
      <c r="I64" s="11" t="s">
        <v>155</v>
      </c>
      <c r="J64" s="11" t="s">
        <v>156</v>
      </c>
    </row>
    <row r="65" customFormat="false" ht="15" hidden="false" customHeight="false" outlineLevel="0" collapsed="false">
      <c r="A65" s="11" t="s">
        <v>179</v>
      </c>
      <c r="B65" s="12"/>
      <c r="C65" s="12"/>
      <c r="D65" s="12"/>
      <c r="E65" s="12" t="n">
        <v>0</v>
      </c>
      <c r="F65" s="12"/>
      <c r="G65" s="12" t="s">
        <v>154</v>
      </c>
      <c r="H65" s="12" t="n">
        <v>9</v>
      </c>
      <c r="I65" s="11" t="s">
        <v>155</v>
      </c>
      <c r="J65" s="11" t="s">
        <v>156</v>
      </c>
    </row>
    <row r="66" customFormat="false" ht="15" hidden="false" customHeight="false" outlineLevel="0" collapsed="false">
      <c r="A66" s="11" t="s">
        <v>180</v>
      </c>
      <c r="B66" s="12"/>
      <c r="C66" s="12"/>
      <c r="D66" s="12"/>
      <c r="E66" s="12" t="n">
        <v>27</v>
      </c>
      <c r="F66" s="12" t="n">
        <v>21.4</v>
      </c>
      <c r="G66" s="12" t="s">
        <v>154</v>
      </c>
      <c r="H66" s="12" t="n">
        <v>9</v>
      </c>
      <c r="I66" s="11" t="s">
        <v>155</v>
      </c>
      <c r="J66" s="11" t="s">
        <v>156</v>
      </c>
    </row>
    <row r="67" customFormat="false" ht="15" hidden="false" customHeight="false" outlineLevel="0" collapsed="false">
      <c r="A67" s="11" t="s">
        <v>181</v>
      </c>
      <c r="B67" s="12"/>
      <c r="C67" s="12"/>
      <c r="D67" s="12"/>
      <c r="E67" s="12" t="n">
        <v>0</v>
      </c>
      <c r="F67" s="12"/>
      <c r="G67" s="12" t="s">
        <v>154</v>
      </c>
      <c r="H67" s="12" t="n">
        <v>9</v>
      </c>
      <c r="I67" s="11" t="s">
        <v>155</v>
      </c>
      <c r="J67" s="11" t="s">
        <v>156</v>
      </c>
    </row>
    <row r="68" customFormat="false" ht="15" hidden="false" customHeight="false" outlineLevel="0" collapsed="false">
      <c r="A68" s="11" t="s">
        <v>182</v>
      </c>
      <c r="B68" s="12"/>
      <c r="C68" s="12"/>
      <c r="D68" s="12"/>
      <c r="E68" s="12" t="n">
        <v>0</v>
      </c>
      <c r="F68" s="12"/>
      <c r="G68" s="12" t="s">
        <v>154</v>
      </c>
      <c r="H68" s="12" t="n">
        <v>9</v>
      </c>
      <c r="I68" s="11" t="s">
        <v>155</v>
      </c>
      <c r="J68" s="11" t="s">
        <v>156</v>
      </c>
    </row>
    <row r="69" customFormat="false" ht="15" hidden="false" customHeight="false" outlineLevel="0" collapsed="false">
      <c r="A69" s="11" t="s">
        <v>183</v>
      </c>
      <c r="B69" s="12"/>
      <c r="C69" s="12"/>
      <c r="D69" s="12"/>
      <c r="E69" s="12" t="n">
        <v>0</v>
      </c>
      <c r="F69" s="12"/>
      <c r="G69" s="12" t="s">
        <v>154</v>
      </c>
      <c r="H69" s="12" t="n">
        <v>9</v>
      </c>
      <c r="I69" s="11" t="s">
        <v>155</v>
      </c>
      <c r="J69" s="11" t="s">
        <v>156</v>
      </c>
    </row>
    <row r="70" customFormat="false" ht="15" hidden="false" customHeight="false" outlineLevel="0" collapsed="false">
      <c r="A70" s="11" t="s">
        <v>184</v>
      </c>
      <c r="B70" s="12"/>
      <c r="C70" s="12"/>
      <c r="D70" s="12"/>
      <c r="E70" s="12" t="n">
        <v>0</v>
      </c>
      <c r="F70" s="12"/>
      <c r="G70" s="12" t="s">
        <v>154</v>
      </c>
      <c r="H70" s="12" t="n">
        <v>9</v>
      </c>
      <c r="I70" s="11" t="s">
        <v>155</v>
      </c>
      <c r="J70" s="11" t="s">
        <v>156</v>
      </c>
    </row>
    <row r="71" customFormat="false" ht="15" hidden="false" customHeight="false" outlineLevel="0" collapsed="false">
      <c r="A71" s="11" t="s">
        <v>185</v>
      </c>
      <c r="B71" s="12"/>
      <c r="C71" s="12"/>
      <c r="D71" s="12"/>
      <c r="E71" s="12" t="n">
        <v>0</v>
      </c>
      <c r="F71" s="12"/>
      <c r="G71" s="12" t="s">
        <v>154</v>
      </c>
      <c r="H71" s="12" t="n">
        <v>9</v>
      </c>
      <c r="I71" s="11" t="s">
        <v>155</v>
      </c>
      <c r="J71" s="11" t="s">
        <v>156</v>
      </c>
    </row>
  </sheetData>
  <autoFilter ref="A1:J7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4"/>
    <col collapsed="false" customWidth="true" hidden="false" outlineLevel="0" max="3" min="3" style="0" width="11"/>
    <col collapsed="false" customWidth="true" hidden="false" outlineLevel="0" max="4" min="4" style="0" width="20"/>
    <col collapsed="false" customWidth="true" hidden="false" outlineLevel="0" max="5" min="5" style="0" width="22"/>
  </cols>
  <sheetData>
    <row r="1" customFormat="false" ht="30" hidden="false" customHeight="true" outlineLevel="0" collapsed="false">
      <c r="A1" s="1" t="s">
        <v>7</v>
      </c>
      <c r="B1" s="1" t="s">
        <v>186</v>
      </c>
      <c r="C1" s="1" t="s">
        <v>187</v>
      </c>
      <c r="D1" s="1" t="s">
        <v>188</v>
      </c>
      <c r="E1" s="1" t="s">
        <v>189</v>
      </c>
    </row>
    <row r="2" customFormat="false" ht="15" hidden="false" customHeight="false" outlineLevel="0" collapsed="false">
      <c r="A2" s="13" t="n">
        <v>1</v>
      </c>
      <c r="B2" s="14" t="s">
        <v>190</v>
      </c>
      <c r="C2" s="13" t="n">
        <f aca="false">COUNTIF(Волны!$H$2:$H$71,A2)</f>
        <v>12</v>
      </c>
      <c r="D2" s="13" t="n">
        <f aca="false">SUMIF(Волны!$H$2:$H$71,A2,Волны!$B$2:$B$71)</f>
        <v>13160</v>
      </c>
      <c r="E2" s="13" t="n">
        <f aca="false">COUNTIFS(Волны!$H$2:$H$71,A2,Волны!$G$2:$G$71,"НЕ РАНЖИРУЕТСЯ")</f>
        <v>10</v>
      </c>
    </row>
    <row r="3" customFormat="false" ht="15" hidden="false" customHeight="false" outlineLevel="0" collapsed="false">
      <c r="A3" s="13" t="n">
        <v>2</v>
      </c>
      <c r="B3" s="14" t="s">
        <v>191</v>
      </c>
      <c r="C3" s="13" t="n">
        <f aca="false">COUNTIF(Волны!$H$2:$H$71,A3)</f>
        <v>10</v>
      </c>
      <c r="D3" s="13" t="n">
        <f aca="false">SUMIF(Волны!$H$2:$H$71,A3,Волны!$B$2:$B$71)</f>
        <v>1430</v>
      </c>
      <c r="E3" s="13" t="n">
        <f aca="false">COUNTIFS(Волны!$H$2:$H$71,A3,Волны!$G$2:$G$71,"НЕ РАНЖИРУЕТСЯ")</f>
        <v>9</v>
      </c>
    </row>
    <row r="4" customFormat="false" ht="15" hidden="false" customHeight="false" outlineLevel="0" collapsed="false">
      <c r="A4" s="13" t="n">
        <v>3</v>
      </c>
      <c r="B4" s="14" t="s">
        <v>192</v>
      </c>
      <c r="C4" s="13" t="n">
        <f aca="false">COUNTIF(Волны!$H$2:$H$71,A4)</f>
        <v>7</v>
      </c>
      <c r="D4" s="13" t="n">
        <f aca="false">SUMIF(Волны!$H$2:$H$71,A4,Волны!$B$2:$B$71)</f>
        <v>3640</v>
      </c>
      <c r="E4" s="13" t="n">
        <f aca="false">COUNTIFS(Волны!$H$2:$H$71,A4,Волны!$G$2:$G$71,"НЕ РАНЖИРУЕТСЯ")</f>
        <v>6</v>
      </c>
    </row>
    <row r="5" customFormat="false" ht="15" hidden="false" customHeight="false" outlineLevel="0" collapsed="false">
      <c r="A5" s="13" t="n">
        <v>4</v>
      </c>
      <c r="B5" s="14" t="s">
        <v>193</v>
      </c>
      <c r="C5" s="13" t="n">
        <f aca="false">COUNTIF(Волны!$H$2:$H$71,A5)</f>
        <v>11</v>
      </c>
      <c r="D5" s="13" t="n">
        <f aca="false">SUMIF(Волны!$H$2:$H$71,A5,Волны!$B$2:$B$71)</f>
        <v>1080</v>
      </c>
      <c r="E5" s="13" t="n">
        <f aca="false">COUNTIFS(Волны!$H$2:$H$71,A5,Волны!$G$2:$G$71,"НЕ РАНЖИРУЕТСЯ")</f>
        <v>3</v>
      </c>
    </row>
    <row r="6" customFormat="false" ht="15" hidden="false" customHeight="false" outlineLevel="0" collapsed="false">
      <c r="A6" s="13" t="n">
        <v>9</v>
      </c>
      <c r="B6" s="14" t="s">
        <v>194</v>
      </c>
      <c r="C6" s="13" t="n">
        <f aca="false">COUNTIF(Волны!$H$2:$H$71,A6)</f>
        <v>30</v>
      </c>
      <c r="D6" s="13" t="n">
        <f aca="false">SUMIF(Волны!$H$2:$H$71,A6,Волны!$B$2:$B$71)</f>
        <v>0</v>
      </c>
      <c r="E6" s="13" t="n">
        <f aca="false">COUNTIFS(Волны!$H$2:$H$71,A6,Волны!$G$2:$G$71,"НЕ РАНЖИРУЕТСЯ")</f>
        <v>1</v>
      </c>
    </row>
    <row r="7" customFormat="false" ht="15" hidden="false" customHeight="false" outlineLevel="0" collapsed="false">
      <c r="B7" s="15" t="s">
        <v>195</v>
      </c>
      <c r="C7" s="15" t="n">
        <f aca="false">SUM(C2:C6)</f>
        <v>70</v>
      </c>
      <c r="D7" s="15" t="n">
        <f aca="false">SUM(D2:D6)</f>
        <v>19310</v>
      </c>
      <c r="E7" s="15" t="n">
        <f aca="false">SUM(E2:E6)</f>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4"/>
    <col collapsed="false" customWidth="true" hidden="false" outlineLevel="0" max="3" min="2" style="0" width="11"/>
    <col collapsed="false" customWidth="true" hidden="false" outlineLevel="0" max="4" min="4" style="0" width="10"/>
  </cols>
  <sheetData>
    <row r="1" customFormat="false" ht="30" hidden="false" customHeight="true" outlineLevel="0" collapsed="false">
      <c r="A1" s="1" t="s">
        <v>196</v>
      </c>
      <c r="B1" s="1" t="s">
        <v>197</v>
      </c>
      <c r="C1" s="1" t="s">
        <v>5</v>
      </c>
      <c r="D1" s="1" t="s">
        <v>198</v>
      </c>
    </row>
    <row r="2" customFormat="false" ht="15" hidden="false" customHeight="false" outlineLevel="0" collapsed="false">
      <c r="A2" s="14" t="s">
        <v>199</v>
      </c>
      <c r="B2" s="13" t="n">
        <v>244</v>
      </c>
      <c r="C2" s="13" t="n">
        <v>47.5</v>
      </c>
      <c r="D2" s="13" t="n">
        <v>0</v>
      </c>
    </row>
    <row r="3" customFormat="false" ht="15" hidden="false" customHeight="false" outlineLevel="0" collapsed="false">
      <c r="A3" s="14" t="s">
        <v>200</v>
      </c>
      <c r="B3" s="13" t="n">
        <v>242</v>
      </c>
      <c r="C3" s="13" t="n">
        <v>44.5</v>
      </c>
      <c r="D3" s="13" t="n">
        <v>0</v>
      </c>
    </row>
    <row r="4" customFormat="false" ht="15" hidden="false" customHeight="false" outlineLevel="0" collapsed="false">
      <c r="A4" s="14" t="s">
        <v>201</v>
      </c>
      <c r="B4" s="13" t="n">
        <v>114</v>
      </c>
      <c r="C4" s="13" t="n">
        <v>29.7</v>
      </c>
      <c r="D4" s="13" t="n">
        <v>0</v>
      </c>
    </row>
    <row r="5" customFormat="false" ht="15" hidden="false" customHeight="false" outlineLevel="0" collapsed="false">
      <c r="A5" s="14" t="s">
        <v>202</v>
      </c>
      <c r="B5" s="13" t="n">
        <v>111</v>
      </c>
      <c r="C5" s="13" t="n">
        <v>48.4</v>
      </c>
      <c r="D5" s="13" t="n">
        <v>0</v>
      </c>
    </row>
    <row r="6" customFormat="false" ht="15" hidden="false" customHeight="false" outlineLevel="0" collapsed="false">
      <c r="A6" s="14" t="s">
        <v>203</v>
      </c>
      <c r="B6" s="13" t="n">
        <v>96</v>
      </c>
      <c r="C6" s="13" t="n">
        <v>49.1</v>
      </c>
      <c r="D6" s="13" t="n">
        <v>0</v>
      </c>
    </row>
    <row r="7" customFormat="false" ht="15" hidden="false" customHeight="false" outlineLevel="0" collapsed="false">
      <c r="A7" s="14" t="s">
        <v>204</v>
      </c>
      <c r="B7" s="13" t="n">
        <v>94</v>
      </c>
      <c r="C7" s="13" t="n">
        <v>48.8</v>
      </c>
      <c r="D7" s="13" t="n">
        <v>0</v>
      </c>
    </row>
    <row r="8" customFormat="false" ht="15" hidden="false" customHeight="false" outlineLevel="0" collapsed="false">
      <c r="A8" s="14" t="s">
        <v>205</v>
      </c>
      <c r="B8" s="13" t="n">
        <v>91</v>
      </c>
      <c r="C8" s="13" t="n">
        <v>29.1</v>
      </c>
      <c r="D8" s="13" t="n">
        <v>0</v>
      </c>
    </row>
    <row r="9" customFormat="false" ht="15" hidden="false" customHeight="false" outlineLevel="0" collapsed="false">
      <c r="A9" s="14" t="s">
        <v>206</v>
      </c>
      <c r="B9" s="13" t="n">
        <v>88</v>
      </c>
      <c r="C9" s="13" t="n">
        <v>34.5</v>
      </c>
      <c r="D9" s="13" t="n">
        <v>0</v>
      </c>
    </row>
    <row r="10" customFormat="false" ht="15" hidden="false" customHeight="false" outlineLevel="0" collapsed="false">
      <c r="A10" s="14" t="s">
        <v>207</v>
      </c>
      <c r="B10" s="13" t="n">
        <v>83</v>
      </c>
      <c r="C10" s="13" t="n">
        <v>41</v>
      </c>
      <c r="D10" s="13" t="n">
        <v>0</v>
      </c>
    </row>
    <row r="11" customFormat="false" ht="15" hidden="false" customHeight="false" outlineLevel="0" collapsed="false">
      <c r="A11" s="14" t="s">
        <v>208</v>
      </c>
      <c r="B11" s="13" t="n">
        <v>81</v>
      </c>
      <c r="C11" s="13" t="n">
        <v>37.5</v>
      </c>
      <c r="D11" s="13" t="n">
        <v>0</v>
      </c>
    </row>
    <row r="12" customFormat="false" ht="15" hidden="false" customHeight="false" outlineLevel="0" collapsed="false">
      <c r="A12" s="14" t="s">
        <v>209</v>
      </c>
      <c r="B12" s="13" t="n">
        <v>74</v>
      </c>
      <c r="C12" s="13" t="n">
        <v>29.3</v>
      </c>
      <c r="D12" s="13" t="n">
        <v>0</v>
      </c>
    </row>
    <row r="13" customFormat="false" ht="15" hidden="false" customHeight="false" outlineLevel="0" collapsed="false">
      <c r="A13" s="14" t="s">
        <v>210</v>
      </c>
      <c r="B13" s="13" t="n">
        <v>71</v>
      </c>
      <c r="C13" s="13" t="n">
        <v>47.4</v>
      </c>
      <c r="D13" s="13" t="n">
        <v>0</v>
      </c>
    </row>
    <row r="14" customFormat="false" ht="15" hidden="false" customHeight="false" outlineLevel="0" collapsed="false">
      <c r="A14" s="14" t="s">
        <v>211</v>
      </c>
      <c r="B14" s="13" t="n">
        <v>68</v>
      </c>
      <c r="C14" s="13" t="n">
        <v>22.1</v>
      </c>
      <c r="D14" s="13" t="n">
        <v>0</v>
      </c>
    </row>
    <row r="15" customFormat="false" ht="15" hidden="false" customHeight="false" outlineLevel="0" collapsed="false">
      <c r="A15" s="14" t="s">
        <v>212</v>
      </c>
      <c r="B15" s="13" t="n">
        <v>64</v>
      </c>
      <c r="C15" s="13" t="n">
        <v>43.4</v>
      </c>
      <c r="D15" s="13" t="n">
        <v>0</v>
      </c>
    </row>
    <row r="16" customFormat="false" ht="15" hidden="false" customHeight="false" outlineLevel="0" collapsed="false">
      <c r="A16" s="14" t="s">
        <v>213</v>
      </c>
      <c r="B16" s="13" t="n">
        <v>62</v>
      </c>
      <c r="C16" s="13" t="n">
        <v>31.7</v>
      </c>
      <c r="D16" s="13" t="n">
        <v>0</v>
      </c>
    </row>
    <row r="17" customFormat="false" ht="15" hidden="false" customHeight="false" outlineLevel="0" collapsed="false">
      <c r="A17" s="14" t="s">
        <v>214</v>
      </c>
      <c r="B17" s="13" t="n">
        <v>61</v>
      </c>
      <c r="C17" s="13" t="n">
        <v>47.6</v>
      </c>
      <c r="D17" s="13" t="n">
        <v>0</v>
      </c>
    </row>
    <row r="18" customFormat="false" ht="15" hidden="false" customHeight="false" outlineLevel="0" collapsed="false">
      <c r="A18" s="14" t="s">
        <v>215</v>
      </c>
      <c r="B18" s="13" t="n">
        <v>57</v>
      </c>
      <c r="C18" s="13" t="n">
        <v>34.7</v>
      </c>
      <c r="D18" s="13" t="n">
        <v>0</v>
      </c>
    </row>
    <row r="19" customFormat="false" ht="15" hidden="false" customHeight="false" outlineLevel="0" collapsed="false">
      <c r="A19" s="14" t="s">
        <v>216</v>
      </c>
      <c r="B19" s="13" t="n">
        <v>54</v>
      </c>
      <c r="C19" s="13" t="n">
        <v>39.1</v>
      </c>
      <c r="D19" s="13" t="n">
        <v>0</v>
      </c>
    </row>
    <row r="20" customFormat="false" ht="15" hidden="false" customHeight="false" outlineLevel="0" collapsed="false">
      <c r="A20" s="14" t="s">
        <v>217</v>
      </c>
      <c r="B20" s="13" t="n">
        <v>53</v>
      </c>
      <c r="C20" s="13" t="n">
        <v>21</v>
      </c>
      <c r="D20" s="13" t="n">
        <v>0</v>
      </c>
    </row>
    <row r="21" customFormat="false" ht="15" hidden="false" customHeight="false" outlineLevel="0" collapsed="false">
      <c r="A21" s="14" t="s">
        <v>218</v>
      </c>
      <c r="B21" s="13" t="n">
        <v>49</v>
      </c>
      <c r="C21" s="13" t="n">
        <v>45.4</v>
      </c>
      <c r="D21" s="13" t="n">
        <v>0</v>
      </c>
    </row>
    <row r="22" customFormat="false" ht="15" hidden="false" customHeight="false" outlineLevel="0" collapsed="false">
      <c r="A22" s="14" t="s">
        <v>219</v>
      </c>
      <c r="B22" s="13" t="n">
        <v>48</v>
      </c>
      <c r="C22" s="13" t="n">
        <v>44.8</v>
      </c>
      <c r="D22" s="13" t="n">
        <v>0</v>
      </c>
    </row>
    <row r="23" customFormat="false" ht="15" hidden="false" customHeight="false" outlineLevel="0" collapsed="false">
      <c r="A23" s="14" t="s">
        <v>220</v>
      </c>
      <c r="B23" s="13" t="n">
        <v>42</v>
      </c>
      <c r="C23" s="13" t="n">
        <v>23.9</v>
      </c>
      <c r="D23" s="13" t="n">
        <v>0</v>
      </c>
    </row>
    <row r="24" customFormat="false" ht="15" hidden="false" customHeight="false" outlineLevel="0" collapsed="false">
      <c r="A24" s="14" t="s">
        <v>55</v>
      </c>
      <c r="B24" s="13" t="n">
        <v>42</v>
      </c>
      <c r="C24" s="13" t="n">
        <v>34.8</v>
      </c>
      <c r="D24" s="13" t="n">
        <v>0</v>
      </c>
    </row>
    <row r="25" customFormat="false" ht="15" hidden="false" customHeight="false" outlineLevel="0" collapsed="false">
      <c r="A25" s="14" t="s">
        <v>221</v>
      </c>
      <c r="B25" s="13" t="n">
        <v>42</v>
      </c>
      <c r="C25" s="13" t="n">
        <v>39.8</v>
      </c>
      <c r="D25" s="13" t="n">
        <v>0</v>
      </c>
    </row>
    <row r="26" customFormat="false" ht="15" hidden="false" customHeight="false" outlineLevel="0" collapsed="false">
      <c r="A26" s="14" t="s">
        <v>222</v>
      </c>
      <c r="B26" s="13" t="n">
        <v>41</v>
      </c>
      <c r="C26" s="13" t="n">
        <v>36.1</v>
      </c>
      <c r="D26" s="13" t="n">
        <v>0</v>
      </c>
    </row>
    <row r="27" customFormat="false" ht="15" hidden="false" customHeight="false" outlineLevel="0" collapsed="false">
      <c r="A27" s="14" t="s">
        <v>223</v>
      </c>
      <c r="B27" s="13" t="n">
        <v>39</v>
      </c>
      <c r="C27" s="13" t="n">
        <v>48.2</v>
      </c>
      <c r="D27" s="13" t="n">
        <v>0</v>
      </c>
    </row>
    <row r="28" customFormat="false" ht="15" hidden="false" customHeight="false" outlineLevel="0" collapsed="false">
      <c r="A28" s="14" t="s">
        <v>224</v>
      </c>
      <c r="B28" s="13" t="n">
        <v>38</v>
      </c>
      <c r="C28" s="13" t="n">
        <v>46.3</v>
      </c>
      <c r="D28" s="13" t="n">
        <v>0</v>
      </c>
    </row>
    <row r="29" customFormat="false" ht="15" hidden="false" customHeight="false" outlineLevel="0" collapsed="false">
      <c r="A29" s="14" t="s">
        <v>225</v>
      </c>
      <c r="B29" s="13" t="n">
        <v>37</v>
      </c>
      <c r="C29" s="13" t="n">
        <v>38.9</v>
      </c>
      <c r="D29" s="13" t="n">
        <v>0</v>
      </c>
    </row>
    <row r="30" customFormat="false" ht="15" hidden="false" customHeight="false" outlineLevel="0" collapsed="false">
      <c r="A30" s="14" t="s">
        <v>226</v>
      </c>
      <c r="B30" s="13" t="n">
        <v>36</v>
      </c>
      <c r="C30" s="13" t="n">
        <v>49.4</v>
      </c>
      <c r="D30" s="13" t="n">
        <v>0</v>
      </c>
    </row>
    <row r="31" customFormat="false" ht="15" hidden="false" customHeight="false" outlineLevel="0" collapsed="false">
      <c r="A31" s="14" t="s">
        <v>227</v>
      </c>
      <c r="B31" s="13" t="n">
        <v>32</v>
      </c>
      <c r="C31" s="13" t="n">
        <v>24.7</v>
      </c>
      <c r="D31" s="13" t="n">
        <v>0</v>
      </c>
    </row>
    <row r="32" customFormat="false" ht="15" hidden="false" customHeight="false" outlineLevel="0" collapsed="false">
      <c r="A32" s="14" t="s">
        <v>228</v>
      </c>
      <c r="B32" s="13" t="n">
        <v>32</v>
      </c>
      <c r="C32" s="13" t="n">
        <v>30.1</v>
      </c>
      <c r="D32" s="13" t="n">
        <v>0</v>
      </c>
    </row>
    <row r="33" customFormat="false" ht="15" hidden="false" customHeight="false" outlineLevel="0" collapsed="false">
      <c r="A33" s="14" t="s">
        <v>229</v>
      </c>
      <c r="B33" s="13" t="n">
        <v>32</v>
      </c>
      <c r="C33" s="13" t="n">
        <v>46.5</v>
      </c>
      <c r="D33" s="13" t="n">
        <v>0</v>
      </c>
    </row>
    <row r="34" customFormat="false" ht="15" hidden="false" customHeight="false" outlineLevel="0" collapsed="false">
      <c r="A34" s="14" t="s">
        <v>230</v>
      </c>
      <c r="B34" s="13" t="n">
        <v>32</v>
      </c>
      <c r="C34" s="13" t="n">
        <v>48.7</v>
      </c>
      <c r="D34" s="13" t="n">
        <v>0</v>
      </c>
    </row>
    <row r="35" customFormat="false" ht="15" hidden="false" customHeight="false" outlineLevel="0" collapsed="false">
      <c r="A35" s="14" t="s">
        <v>231</v>
      </c>
      <c r="B35" s="13" t="n">
        <v>31</v>
      </c>
      <c r="C35" s="13" t="n">
        <v>21.4</v>
      </c>
      <c r="D35" s="13" t="n">
        <v>0</v>
      </c>
    </row>
    <row r="36" customFormat="false" ht="15" hidden="false" customHeight="false" outlineLevel="0" collapsed="false">
      <c r="A36" s="14" t="s">
        <v>232</v>
      </c>
      <c r="B36" s="13" t="n">
        <v>31</v>
      </c>
      <c r="C36" s="13" t="n">
        <v>30.6</v>
      </c>
      <c r="D36" s="13" t="n">
        <v>0</v>
      </c>
    </row>
    <row r="37" customFormat="false" ht="15" hidden="false" customHeight="false" outlineLevel="0" collapsed="false">
      <c r="A37" s="14" t="s">
        <v>233</v>
      </c>
      <c r="B37" s="13" t="n">
        <v>30</v>
      </c>
      <c r="C37" s="13" t="n">
        <v>38.3</v>
      </c>
      <c r="D37" s="13" t="n">
        <v>0</v>
      </c>
    </row>
    <row r="38" customFormat="false" ht="15" hidden="false" customHeight="false" outlineLevel="0" collapsed="false">
      <c r="A38" s="14" t="s">
        <v>234</v>
      </c>
      <c r="B38" s="13" t="n">
        <v>28</v>
      </c>
      <c r="C38" s="13" t="n">
        <v>24.9</v>
      </c>
      <c r="D38" s="13" t="n">
        <v>0</v>
      </c>
    </row>
    <row r="39" customFormat="false" ht="15" hidden="false" customHeight="false" outlineLevel="0" collapsed="false">
      <c r="A39" s="14" t="s">
        <v>180</v>
      </c>
      <c r="B39" s="13" t="n">
        <v>27</v>
      </c>
      <c r="C39" s="13" t="n">
        <v>21.4</v>
      </c>
      <c r="D39" s="13" t="n">
        <v>0</v>
      </c>
    </row>
    <row r="40" customFormat="false" ht="15" hidden="false" customHeight="false" outlineLevel="0" collapsed="false">
      <c r="A40" s="14" t="s">
        <v>121</v>
      </c>
      <c r="B40" s="13" t="n">
        <v>26</v>
      </c>
      <c r="C40" s="13" t="n">
        <v>23.3</v>
      </c>
      <c r="D40" s="13" t="n">
        <v>0</v>
      </c>
    </row>
    <row r="41" customFormat="false" ht="15" hidden="false" customHeight="false" outlineLevel="0" collapsed="false">
      <c r="A41" s="14" t="s">
        <v>235</v>
      </c>
      <c r="B41" s="13" t="n">
        <v>26</v>
      </c>
      <c r="C41" s="13" t="n">
        <v>26.6</v>
      </c>
      <c r="D41" s="13" t="n">
        <v>0</v>
      </c>
    </row>
    <row r="42" customFormat="false" ht="15" hidden="false" customHeight="false" outlineLevel="0" collapsed="false">
      <c r="A42" s="14" t="s">
        <v>236</v>
      </c>
      <c r="B42" s="13" t="n">
        <v>26</v>
      </c>
      <c r="C42" s="13" t="n">
        <v>35.8</v>
      </c>
      <c r="D42" s="13" t="n">
        <v>0</v>
      </c>
    </row>
    <row r="43" customFormat="false" ht="15" hidden="false" customHeight="false" outlineLevel="0" collapsed="false">
      <c r="A43" s="14" t="s">
        <v>237</v>
      </c>
      <c r="B43" s="13" t="n">
        <v>26</v>
      </c>
      <c r="C43" s="13" t="n">
        <v>41.6</v>
      </c>
      <c r="D43" s="13" t="n">
        <v>0</v>
      </c>
    </row>
    <row r="44" customFormat="false" ht="15" hidden="false" customHeight="false" outlineLevel="0" collapsed="false">
      <c r="A44" s="14" t="s">
        <v>238</v>
      </c>
      <c r="B44" s="13" t="n">
        <v>25</v>
      </c>
      <c r="C44" s="13" t="n">
        <v>33.6</v>
      </c>
      <c r="D44" s="13" t="n">
        <v>0</v>
      </c>
    </row>
    <row r="45" customFormat="false" ht="15" hidden="false" customHeight="false" outlineLevel="0" collapsed="false">
      <c r="A45" s="14" t="s">
        <v>239</v>
      </c>
      <c r="B45" s="13" t="n">
        <v>25</v>
      </c>
      <c r="C45" s="13" t="n">
        <v>38.1</v>
      </c>
      <c r="D45" s="13" t="n">
        <v>0</v>
      </c>
    </row>
    <row r="46" customFormat="false" ht="15" hidden="false" customHeight="false" outlineLevel="0" collapsed="false">
      <c r="A46" s="14" t="s">
        <v>240</v>
      </c>
      <c r="B46" s="13" t="n">
        <v>25</v>
      </c>
      <c r="C46" s="13" t="n">
        <v>44.2</v>
      </c>
      <c r="D46" s="13" t="n">
        <v>0</v>
      </c>
    </row>
    <row r="47" customFormat="false" ht="15" hidden="false" customHeight="false" outlineLevel="0" collapsed="false">
      <c r="A47" s="14" t="s">
        <v>241</v>
      </c>
      <c r="B47" s="13" t="n">
        <v>23</v>
      </c>
      <c r="C47" s="13" t="n">
        <v>29.2</v>
      </c>
      <c r="D47" s="13" t="n">
        <v>0</v>
      </c>
    </row>
    <row r="48" customFormat="false" ht="23.85" hidden="false" customHeight="false" outlineLevel="0" collapsed="false">
      <c r="A48" s="14" t="s">
        <v>242</v>
      </c>
      <c r="B48" s="13" t="n">
        <v>23</v>
      </c>
      <c r="C48" s="13" t="n">
        <v>33.6</v>
      </c>
      <c r="D48" s="13" t="n">
        <v>0</v>
      </c>
    </row>
    <row r="49" customFormat="false" ht="15" hidden="false" customHeight="false" outlineLevel="0" collapsed="false">
      <c r="A49" s="14" t="s">
        <v>47</v>
      </c>
      <c r="B49" s="13" t="n">
        <v>23</v>
      </c>
      <c r="C49" s="13" t="n">
        <v>40.3</v>
      </c>
      <c r="D49" s="13" t="n">
        <v>0</v>
      </c>
    </row>
    <row r="50" customFormat="false" ht="15" hidden="false" customHeight="false" outlineLevel="0" collapsed="false">
      <c r="A50" s="14" t="s">
        <v>243</v>
      </c>
      <c r="B50" s="13" t="n">
        <v>23</v>
      </c>
      <c r="C50" s="13" t="n">
        <v>47.5</v>
      </c>
      <c r="D50" s="13" t="n">
        <v>0</v>
      </c>
    </row>
    <row r="51" customFormat="false" ht="15" hidden="false" customHeight="false" outlineLevel="0" collapsed="false">
      <c r="A51" s="14" t="s">
        <v>244</v>
      </c>
      <c r="B51" s="13" t="n">
        <v>21</v>
      </c>
      <c r="C51" s="13" t="n">
        <v>43.9</v>
      </c>
      <c r="D51" s="13" t="n">
        <v>0</v>
      </c>
    </row>
    <row r="52" customFormat="false" ht="15" hidden="false" customHeight="false" outlineLevel="0" collapsed="false">
      <c r="A52" s="14" t="s">
        <v>245</v>
      </c>
      <c r="B52" s="13" t="n">
        <v>21</v>
      </c>
      <c r="C52" s="13" t="n">
        <v>46</v>
      </c>
      <c r="D52" s="13" t="n">
        <v>0</v>
      </c>
    </row>
    <row r="53" customFormat="false" ht="15" hidden="false" customHeight="false" outlineLevel="0" collapsed="false">
      <c r="A53" s="14" t="s">
        <v>246</v>
      </c>
      <c r="B53" s="13" t="n">
        <v>20</v>
      </c>
      <c r="C53" s="13" t="n">
        <v>30.2</v>
      </c>
      <c r="D53" s="13" t="n">
        <v>0</v>
      </c>
    </row>
    <row r="54" customFormat="false" ht="15" hidden="false" customHeight="false" outlineLevel="0" collapsed="false">
      <c r="A54" s="14" t="s">
        <v>247</v>
      </c>
      <c r="B54" s="13" t="n">
        <v>20</v>
      </c>
      <c r="C54" s="13" t="n">
        <v>33.7</v>
      </c>
      <c r="D54" s="13" t="n">
        <v>0</v>
      </c>
    </row>
    <row r="55" customFormat="false" ht="15" hidden="false" customHeight="false" outlineLevel="0" collapsed="false">
      <c r="A55" s="14" t="s">
        <v>248</v>
      </c>
      <c r="B55" s="13" t="n">
        <v>20</v>
      </c>
      <c r="C55" s="13" t="n">
        <v>39</v>
      </c>
      <c r="D55" s="13" t="n">
        <v>0</v>
      </c>
    </row>
    <row r="56" customFormat="false" ht="15" hidden="false" customHeight="false" outlineLevel="0" collapsed="false">
      <c r="A56" s="14" t="s">
        <v>249</v>
      </c>
      <c r="B56" s="13" t="n">
        <v>20</v>
      </c>
      <c r="C56" s="13" t="n">
        <v>46.1</v>
      </c>
      <c r="D56" s="13" t="n">
        <v>0</v>
      </c>
    </row>
    <row r="57" customFormat="false" ht="15" hidden="false" customHeight="false" outlineLevel="0" collapsed="false">
      <c r="A57" s="14" t="s">
        <v>250</v>
      </c>
      <c r="B57" s="13" t="n">
        <v>19</v>
      </c>
      <c r="C57" s="13" t="n">
        <v>21</v>
      </c>
      <c r="D57" s="13" t="n">
        <v>0</v>
      </c>
    </row>
    <row r="58" customFormat="false" ht="15" hidden="false" customHeight="false" outlineLevel="0" collapsed="false">
      <c r="A58" s="14" t="s">
        <v>251</v>
      </c>
      <c r="B58" s="13" t="n">
        <v>19</v>
      </c>
      <c r="C58" s="13" t="n">
        <v>22.9</v>
      </c>
      <c r="D58" s="13" t="n">
        <v>0</v>
      </c>
    </row>
    <row r="59" customFormat="false" ht="15" hidden="false" customHeight="false" outlineLevel="0" collapsed="false">
      <c r="A59" s="14" t="s">
        <v>252</v>
      </c>
      <c r="B59" s="13" t="n">
        <v>19</v>
      </c>
      <c r="C59" s="13" t="n">
        <v>39.9</v>
      </c>
      <c r="D59" s="13" t="n">
        <v>0</v>
      </c>
    </row>
    <row r="60" customFormat="false" ht="15" hidden="false" customHeight="false" outlineLevel="0" collapsed="false">
      <c r="A60" s="14" t="s">
        <v>253</v>
      </c>
      <c r="B60" s="13" t="n">
        <v>18</v>
      </c>
      <c r="C60" s="13" t="n">
        <v>40.2</v>
      </c>
      <c r="D60" s="13" t="n">
        <v>0</v>
      </c>
    </row>
    <row r="61" customFormat="false" ht="15" hidden="false" customHeight="false" outlineLevel="0" collapsed="false">
      <c r="A61" s="14" t="s">
        <v>254</v>
      </c>
      <c r="B61" s="13" t="n">
        <v>18</v>
      </c>
      <c r="C61" s="13" t="n">
        <v>46.7</v>
      </c>
      <c r="D61" s="13" t="n">
        <v>0</v>
      </c>
    </row>
    <row r="62" customFormat="false" ht="15" hidden="false" customHeight="false" outlineLevel="0" collapsed="false">
      <c r="A62" s="14" t="s">
        <v>255</v>
      </c>
      <c r="B62" s="13" t="n">
        <v>17</v>
      </c>
      <c r="C62" s="13" t="n">
        <v>32</v>
      </c>
      <c r="D62" s="13" t="n">
        <v>0</v>
      </c>
    </row>
    <row r="63" customFormat="false" ht="15" hidden="false" customHeight="false" outlineLevel="0" collapsed="false">
      <c r="A63" s="14" t="s">
        <v>256</v>
      </c>
      <c r="B63" s="13" t="n">
        <v>17</v>
      </c>
      <c r="C63" s="13" t="n">
        <v>32.9</v>
      </c>
      <c r="D63" s="13" t="n">
        <v>0</v>
      </c>
    </row>
    <row r="64" customFormat="false" ht="15" hidden="false" customHeight="false" outlineLevel="0" collapsed="false">
      <c r="A64" s="14" t="s">
        <v>257</v>
      </c>
      <c r="B64" s="13" t="n">
        <v>17</v>
      </c>
      <c r="C64" s="13" t="n">
        <v>43.8</v>
      </c>
      <c r="D64" s="13" t="n">
        <v>0</v>
      </c>
    </row>
    <row r="65" customFormat="false" ht="15" hidden="false" customHeight="false" outlineLevel="0" collapsed="false">
      <c r="A65" s="14" t="s">
        <v>258</v>
      </c>
      <c r="B65" s="13" t="n">
        <v>17</v>
      </c>
      <c r="C65" s="13" t="n">
        <v>45.3</v>
      </c>
      <c r="D65" s="13" t="n">
        <v>0</v>
      </c>
    </row>
    <row r="66" customFormat="false" ht="15" hidden="false" customHeight="false" outlineLevel="0" collapsed="false">
      <c r="A66" s="14" t="s">
        <v>259</v>
      </c>
      <c r="B66" s="13" t="n">
        <v>17</v>
      </c>
      <c r="C66" s="13" t="n">
        <v>46.3</v>
      </c>
      <c r="D66" s="13" t="n">
        <v>0</v>
      </c>
    </row>
    <row r="67" customFormat="false" ht="15" hidden="false" customHeight="false" outlineLevel="0" collapsed="false">
      <c r="A67" s="14" t="s">
        <v>260</v>
      </c>
      <c r="B67" s="13" t="n">
        <v>17</v>
      </c>
      <c r="C67" s="13" t="n">
        <v>46.8</v>
      </c>
      <c r="D67" s="13" t="n">
        <v>0</v>
      </c>
    </row>
    <row r="68" customFormat="false" ht="15" hidden="false" customHeight="false" outlineLevel="0" collapsed="false">
      <c r="A68" s="14" t="s">
        <v>261</v>
      </c>
      <c r="B68" s="13" t="n">
        <v>16</v>
      </c>
      <c r="C68" s="13" t="n">
        <v>24.5</v>
      </c>
      <c r="D68" s="13" t="n">
        <v>0</v>
      </c>
    </row>
    <row r="69" customFormat="false" ht="15" hidden="false" customHeight="false" outlineLevel="0" collapsed="false">
      <c r="A69" s="14" t="s">
        <v>262</v>
      </c>
      <c r="B69" s="13" t="n">
        <v>16</v>
      </c>
      <c r="C69" s="13" t="n">
        <v>35.3</v>
      </c>
      <c r="D69" s="13" t="n">
        <v>0</v>
      </c>
    </row>
    <row r="70" customFormat="false" ht="15" hidden="false" customHeight="false" outlineLevel="0" collapsed="false">
      <c r="A70" s="14" t="s">
        <v>263</v>
      </c>
      <c r="B70" s="13" t="n">
        <v>16</v>
      </c>
      <c r="C70" s="13" t="n">
        <v>35.8</v>
      </c>
      <c r="D70" s="13" t="n">
        <v>0</v>
      </c>
    </row>
    <row r="71" customFormat="false" ht="15" hidden="false" customHeight="false" outlineLevel="0" collapsed="false">
      <c r="A71" s="14" t="s">
        <v>264</v>
      </c>
      <c r="B71" s="13" t="n">
        <v>16</v>
      </c>
      <c r="C71" s="13" t="n">
        <v>38.3</v>
      </c>
      <c r="D71" s="13" t="n">
        <v>0</v>
      </c>
    </row>
    <row r="72" customFormat="false" ht="15" hidden="false" customHeight="false" outlineLevel="0" collapsed="false">
      <c r="A72" s="14" t="s">
        <v>265</v>
      </c>
      <c r="B72" s="13" t="n">
        <v>16</v>
      </c>
      <c r="C72" s="13" t="n">
        <v>43.5</v>
      </c>
      <c r="D72" s="13" t="n">
        <v>0</v>
      </c>
    </row>
    <row r="73" customFormat="false" ht="15" hidden="false" customHeight="false" outlineLevel="0" collapsed="false">
      <c r="A73" s="14" t="s">
        <v>266</v>
      </c>
      <c r="B73" s="13" t="n">
        <v>16</v>
      </c>
      <c r="C73" s="13" t="n">
        <v>48.1</v>
      </c>
      <c r="D73" s="13" t="n">
        <v>0</v>
      </c>
    </row>
    <row r="74" customFormat="false" ht="15" hidden="false" customHeight="false" outlineLevel="0" collapsed="false">
      <c r="A74" s="14" t="s">
        <v>267</v>
      </c>
      <c r="B74" s="13" t="n">
        <v>15</v>
      </c>
      <c r="C74" s="13" t="n">
        <v>24.1</v>
      </c>
      <c r="D74" s="13" t="n">
        <v>0</v>
      </c>
    </row>
    <row r="75" customFormat="false" ht="15" hidden="false" customHeight="false" outlineLevel="0" collapsed="false">
      <c r="A75" s="14" t="s">
        <v>268</v>
      </c>
      <c r="B75" s="13" t="n">
        <v>15</v>
      </c>
      <c r="C75" s="13" t="n">
        <v>25.4</v>
      </c>
      <c r="D75" s="13" t="n">
        <v>0</v>
      </c>
    </row>
    <row r="76" customFormat="false" ht="15" hidden="false" customHeight="false" outlineLevel="0" collapsed="false">
      <c r="A76" s="14" t="s">
        <v>269</v>
      </c>
      <c r="B76" s="13" t="n">
        <v>15</v>
      </c>
      <c r="C76" s="13" t="n">
        <v>25.8</v>
      </c>
      <c r="D76" s="13" t="n">
        <v>0</v>
      </c>
    </row>
    <row r="77" customFormat="false" ht="15" hidden="false" customHeight="false" outlineLevel="0" collapsed="false">
      <c r="A77" s="14" t="s">
        <v>270</v>
      </c>
      <c r="B77" s="13" t="n">
        <v>15</v>
      </c>
      <c r="C77" s="13" t="n">
        <v>43</v>
      </c>
      <c r="D77" s="13" t="n">
        <v>0</v>
      </c>
    </row>
    <row r="78" customFormat="false" ht="15" hidden="false" customHeight="false" outlineLevel="0" collapsed="false">
      <c r="A78" s="14" t="s">
        <v>85</v>
      </c>
      <c r="B78" s="13" t="n">
        <v>15</v>
      </c>
      <c r="C78" s="13" t="n">
        <v>45.3</v>
      </c>
      <c r="D78" s="13" t="n">
        <v>0</v>
      </c>
    </row>
    <row r="79" customFormat="false" ht="15" hidden="false" customHeight="false" outlineLevel="0" collapsed="false">
      <c r="A79" s="14" t="s">
        <v>271</v>
      </c>
      <c r="B79" s="13" t="n">
        <v>14</v>
      </c>
      <c r="C79" s="13" t="n">
        <v>24.9</v>
      </c>
      <c r="D79" s="13" t="n">
        <v>0</v>
      </c>
    </row>
    <row r="80" customFormat="false" ht="15" hidden="false" customHeight="false" outlineLevel="0" collapsed="false">
      <c r="A80" s="14" t="s">
        <v>272</v>
      </c>
      <c r="B80" s="13" t="n">
        <v>14</v>
      </c>
      <c r="C80" s="13" t="n">
        <v>34.6</v>
      </c>
      <c r="D80" s="13" t="n">
        <v>0</v>
      </c>
    </row>
    <row r="81" customFormat="false" ht="15" hidden="false" customHeight="false" outlineLevel="0" collapsed="false">
      <c r="A81" s="14" t="s">
        <v>273</v>
      </c>
      <c r="B81" s="13" t="n">
        <v>13</v>
      </c>
      <c r="C81" s="13" t="n">
        <v>22.1</v>
      </c>
      <c r="D81" s="13" t="n">
        <v>0</v>
      </c>
    </row>
    <row r="82" customFormat="false" ht="35.05" hidden="false" customHeight="false" outlineLevel="0" collapsed="false">
      <c r="A82" s="14" t="s">
        <v>274</v>
      </c>
      <c r="B82" s="13" t="n">
        <v>13</v>
      </c>
      <c r="C82" s="13" t="n">
        <v>26.6</v>
      </c>
      <c r="D82" s="13" t="n">
        <v>0</v>
      </c>
    </row>
    <row r="83" customFormat="false" ht="15" hidden="false" customHeight="false" outlineLevel="0" collapsed="false">
      <c r="A83" s="14" t="s">
        <v>275</v>
      </c>
      <c r="B83" s="13" t="n">
        <v>13</v>
      </c>
      <c r="C83" s="13" t="n">
        <v>31.5</v>
      </c>
      <c r="D83" s="13" t="n">
        <v>0</v>
      </c>
    </row>
    <row r="84" customFormat="false" ht="15" hidden="false" customHeight="false" outlineLevel="0" collapsed="false">
      <c r="A84" s="14" t="s">
        <v>276</v>
      </c>
      <c r="B84" s="13" t="n">
        <v>13</v>
      </c>
      <c r="C84" s="13" t="n">
        <v>31.5</v>
      </c>
      <c r="D84" s="13" t="n">
        <v>0</v>
      </c>
    </row>
    <row r="85" customFormat="false" ht="15" hidden="false" customHeight="false" outlineLevel="0" collapsed="false">
      <c r="A85" s="14" t="s">
        <v>277</v>
      </c>
      <c r="B85" s="13" t="n">
        <v>13</v>
      </c>
      <c r="C85" s="13" t="n">
        <v>43.4</v>
      </c>
      <c r="D85" s="13" t="n">
        <v>0</v>
      </c>
    </row>
    <row r="86" customFormat="false" ht="15" hidden="false" customHeight="false" outlineLevel="0" collapsed="false">
      <c r="A86" s="14" t="s">
        <v>278</v>
      </c>
      <c r="B86" s="13" t="n">
        <v>13</v>
      </c>
      <c r="C86" s="13" t="n">
        <v>45.1</v>
      </c>
      <c r="D86" s="13" t="n">
        <v>0</v>
      </c>
    </row>
    <row r="87" customFormat="false" ht="15" hidden="false" customHeight="false" outlineLevel="0" collapsed="false">
      <c r="A87" s="14" t="s">
        <v>279</v>
      </c>
      <c r="B87" s="13" t="n">
        <v>12</v>
      </c>
      <c r="C87" s="13" t="n">
        <v>24</v>
      </c>
      <c r="D87" s="13" t="n">
        <v>0</v>
      </c>
    </row>
    <row r="88" customFormat="false" ht="15" hidden="false" customHeight="false" outlineLevel="0" collapsed="false">
      <c r="A88" s="14" t="s">
        <v>280</v>
      </c>
      <c r="B88" s="13" t="n">
        <v>12</v>
      </c>
      <c r="C88" s="13" t="n">
        <v>34.4</v>
      </c>
      <c r="D88" s="13" t="n">
        <v>0</v>
      </c>
    </row>
    <row r="89" customFormat="false" ht="124.6" hidden="false" customHeight="false" outlineLevel="0" collapsed="false">
      <c r="A89" s="14" t="s">
        <v>281</v>
      </c>
      <c r="B89" s="13" t="n">
        <v>12</v>
      </c>
      <c r="C89" s="13" t="n">
        <v>42.7</v>
      </c>
      <c r="D89" s="13" t="n">
        <v>0</v>
      </c>
    </row>
    <row r="90" customFormat="false" ht="15" hidden="false" customHeight="false" outlineLevel="0" collapsed="false">
      <c r="A90" s="14" t="s">
        <v>282</v>
      </c>
      <c r="B90" s="13" t="n">
        <v>12</v>
      </c>
      <c r="C90" s="13" t="n">
        <v>42.9</v>
      </c>
      <c r="D90" s="13" t="n">
        <v>0</v>
      </c>
    </row>
    <row r="91" customFormat="false" ht="15" hidden="false" customHeight="false" outlineLevel="0" collapsed="false">
      <c r="A91" s="14" t="s">
        <v>283</v>
      </c>
      <c r="B91" s="13" t="n">
        <v>11</v>
      </c>
      <c r="C91" s="13" t="n">
        <v>29.9</v>
      </c>
      <c r="D91" s="13" t="n">
        <v>0</v>
      </c>
    </row>
    <row r="92" customFormat="false" ht="15" hidden="false" customHeight="false" outlineLevel="0" collapsed="false">
      <c r="A92" s="14" t="s">
        <v>284</v>
      </c>
      <c r="B92" s="13" t="n">
        <v>11</v>
      </c>
      <c r="C92" s="13" t="n">
        <v>31.8</v>
      </c>
      <c r="D92" s="13" t="n">
        <v>0</v>
      </c>
    </row>
    <row r="93" customFormat="false" ht="15" hidden="false" customHeight="false" outlineLevel="0" collapsed="false">
      <c r="A93" s="14" t="s">
        <v>285</v>
      </c>
      <c r="B93" s="13" t="n">
        <v>11</v>
      </c>
      <c r="C93" s="13" t="n">
        <v>34.3</v>
      </c>
      <c r="D93" s="13" t="n">
        <v>0</v>
      </c>
    </row>
    <row r="94" customFormat="false" ht="15" hidden="false" customHeight="false" outlineLevel="0" collapsed="false">
      <c r="A94" s="14" t="s">
        <v>286</v>
      </c>
      <c r="B94" s="13" t="n">
        <v>11</v>
      </c>
      <c r="C94" s="13" t="n">
        <v>35.2</v>
      </c>
      <c r="D94" s="13" t="n">
        <v>0</v>
      </c>
    </row>
    <row r="95" customFormat="false" ht="15" hidden="false" customHeight="false" outlineLevel="0" collapsed="false">
      <c r="A95" s="14" t="s">
        <v>287</v>
      </c>
      <c r="B95" s="13" t="n">
        <v>11</v>
      </c>
      <c r="C95" s="13" t="n">
        <v>35.3</v>
      </c>
      <c r="D95" s="13" t="n">
        <v>0</v>
      </c>
    </row>
    <row r="96" customFormat="false" ht="15" hidden="false" customHeight="false" outlineLevel="0" collapsed="false">
      <c r="A96" s="14" t="s">
        <v>288</v>
      </c>
      <c r="B96" s="13" t="n">
        <v>11</v>
      </c>
      <c r="C96" s="13" t="n">
        <v>36.9</v>
      </c>
      <c r="D96" s="13" t="n">
        <v>0</v>
      </c>
    </row>
    <row r="97" customFormat="false" ht="15" hidden="false" customHeight="false" outlineLevel="0" collapsed="false">
      <c r="A97" s="14" t="s">
        <v>289</v>
      </c>
      <c r="B97" s="13" t="n">
        <v>11</v>
      </c>
      <c r="C97" s="13" t="n">
        <v>44.6</v>
      </c>
      <c r="D97" s="13" t="n">
        <v>0</v>
      </c>
    </row>
    <row r="98" customFormat="false" ht="15" hidden="false" customHeight="false" outlineLevel="0" collapsed="false">
      <c r="A98" s="14" t="s">
        <v>290</v>
      </c>
      <c r="B98" s="13" t="n">
        <v>10</v>
      </c>
      <c r="C98" s="13" t="n">
        <v>24.3</v>
      </c>
      <c r="D98" s="13" t="n">
        <v>0</v>
      </c>
    </row>
    <row r="99" customFormat="false" ht="15" hidden="false" customHeight="false" outlineLevel="0" collapsed="false">
      <c r="A99" s="14" t="s">
        <v>291</v>
      </c>
      <c r="B99" s="13" t="n">
        <v>10</v>
      </c>
      <c r="C99" s="13" t="n">
        <v>26.4</v>
      </c>
      <c r="D99" s="13" t="n">
        <v>0</v>
      </c>
    </row>
    <row r="100" customFormat="false" ht="15" hidden="false" customHeight="false" outlineLevel="0" collapsed="false">
      <c r="A100" s="14" t="s">
        <v>292</v>
      </c>
      <c r="B100" s="13" t="n">
        <v>10</v>
      </c>
      <c r="C100" s="13" t="n">
        <v>29.4</v>
      </c>
      <c r="D100" s="13" t="n">
        <v>0</v>
      </c>
    </row>
    <row r="101" customFormat="false" ht="15" hidden="false" customHeight="false" outlineLevel="0" collapsed="false">
      <c r="A101" s="14" t="s">
        <v>293</v>
      </c>
      <c r="B101" s="13" t="n">
        <v>10</v>
      </c>
      <c r="C101" s="13" t="n">
        <v>37.7</v>
      </c>
      <c r="D101" s="13" t="n">
        <v>0</v>
      </c>
    </row>
    <row r="102" customFormat="false" ht="15" hidden="false" customHeight="false" outlineLevel="0" collapsed="false">
      <c r="A102" s="14" t="s">
        <v>294</v>
      </c>
      <c r="B102" s="13" t="n">
        <v>10</v>
      </c>
      <c r="C102" s="13" t="n">
        <v>38.1</v>
      </c>
      <c r="D102" s="13" t="n">
        <v>0</v>
      </c>
    </row>
    <row r="103" customFormat="false" ht="15" hidden="false" customHeight="false" outlineLevel="0" collapsed="false">
      <c r="A103" s="14" t="s">
        <v>295</v>
      </c>
      <c r="B103" s="13" t="n">
        <v>10</v>
      </c>
      <c r="C103" s="13" t="n">
        <v>39</v>
      </c>
      <c r="D103" s="13" t="n">
        <v>0</v>
      </c>
    </row>
    <row r="104" customFormat="false" ht="15" hidden="false" customHeight="false" outlineLevel="0" collapsed="false">
      <c r="A104" s="14" t="s">
        <v>296</v>
      </c>
      <c r="B104" s="13" t="n">
        <v>10</v>
      </c>
      <c r="C104" s="13" t="n">
        <v>40.2</v>
      </c>
      <c r="D104" s="13" t="n">
        <v>0</v>
      </c>
    </row>
    <row r="105" customFormat="false" ht="15" hidden="false" customHeight="false" outlineLevel="0" collapsed="false">
      <c r="A105" s="14" t="s">
        <v>297</v>
      </c>
      <c r="B105" s="13" t="n">
        <v>10</v>
      </c>
      <c r="C105" s="13" t="n">
        <v>46.7</v>
      </c>
      <c r="D105" s="13" t="n">
        <v>0</v>
      </c>
    </row>
    <row r="106" customFormat="false" ht="15" hidden="false" customHeight="false" outlineLevel="0" collapsed="false">
      <c r="A106" s="14" t="s">
        <v>298</v>
      </c>
      <c r="B106" s="13" t="n">
        <v>10</v>
      </c>
      <c r="C106" s="13" t="n">
        <v>47.7</v>
      </c>
      <c r="D106" s="13" t="n">
        <v>0</v>
      </c>
    </row>
    <row r="107" customFormat="false" ht="15" hidden="false" customHeight="false" outlineLevel="0" collapsed="false">
      <c r="A107" s="14" t="s">
        <v>299</v>
      </c>
      <c r="B107" s="13" t="n">
        <v>9</v>
      </c>
      <c r="C107" s="13" t="n">
        <v>27</v>
      </c>
      <c r="D107" s="13" t="n">
        <v>0</v>
      </c>
    </row>
    <row r="108" customFormat="false" ht="15" hidden="false" customHeight="false" outlineLevel="0" collapsed="false">
      <c r="A108" s="14" t="s">
        <v>300</v>
      </c>
      <c r="B108" s="13" t="n">
        <v>9</v>
      </c>
      <c r="C108" s="13" t="n">
        <v>28.7</v>
      </c>
      <c r="D108" s="13" t="n">
        <v>0</v>
      </c>
    </row>
    <row r="109" customFormat="false" ht="15" hidden="false" customHeight="false" outlineLevel="0" collapsed="false">
      <c r="A109" s="14" t="s">
        <v>301</v>
      </c>
      <c r="B109" s="13" t="n">
        <v>9</v>
      </c>
      <c r="C109" s="13" t="n">
        <v>29</v>
      </c>
      <c r="D109" s="13" t="n">
        <v>0</v>
      </c>
    </row>
    <row r="110" customFormat="false" ht="35.05" hidden="false" customHeight="false" outlineLevel="0" collapsed="false">
      <c r="A110" s="14" t="s">
        <v>302</v>
      </c>
      <c r="B110" s="13" t="n">
        <v>9</v>
      </c>
      <c r="C110" s="13" t="n">
        <v>29.7</v>
      </c>
      <c r="D110" s="13" t="n">
        <v>0</v>
      </c>
    </row>
    <row r="111" customFormat="false" ht="15" hidden="false" customHeight="false" outlineLevel="0" collapsed="false">
      <c r="A111" s="14" t="s">
        <v>303</v>
      </c>
      <c r="B111" s="13" t="n">
        <v>9</v>
      </c>
      <c r="C111" s="13" t="n">
        <v>31.3</v>
      </c>
      <c r="D111" s="13" t="n">
        <v>0</v>
      </c>
    </row>
    <row r="112" customFormat="false" ht="15" hidden="false" customHeight="false" outlineLevel="0" collapsed="false">
      <c r="A112" s="14" t="s">
        <v>304</v>
      </c>
      <c r="B112" s="13" t="n">
        <v>9</v>
      </c>
      <c r="C112" s="13" t="n">
        <v>33</v>
      </c>
      <c r="D112" s="13" t="n">
        <v>0</v>
      </c>
    </row>
    <row r="113" customFormat="false" ht="15" hidden="false" customHeight="false" outlineLevel="0" collapsed="false">
      <c r="A113" s="14" t="s">
        <v>305</v>
      </c>
      <c r="B113" s="13" t="n">
        <v>9</v>
      </c>
      <c r="C113" s="13" t="n">
        <v>33.7</v>
      </c>
      <c r="D113" s="13" t="n">
        <v>0</v>
      </c>
    </row>
    <row r="114" customFormat="false" ht="15" hidden="false" customHeight="false" outlineLevel="0" collapsed="false">
      <c r="A114" s="14" t="s">
        <v>306</v>
      </c>
      <c r="B114" s="13" t="n">
        <v>9</v>
      </c>
      <c r="C114" s="13" t="n">
        <v>34</v>
      </c>
      <c r="D114" s="13" t="n">
        <v>0</v>
      </c>
    </row>
    <row r="115" customFormat="false" ht="15" hidden="false" customHeight="false" outlineLevel="0" collapsed="false">
      <c r="A115" s="14" t="s">
        <v>307</v>
      </c>
      <c r="B115" s="13" t="n">
        <v>9</v>
      </c>
      <c r="C115" s="13" t="n">
        <v>34.6</v>
      </c>
      <c r="D115" s="13" t="n">
        <v>0</v>
      </c>
    </row>
    <row r="116" customFormat="false" ht="15" hidden="false" customHeight="false" outlineLevel="0" collapsed="false">
      <c r="A116" s="14" t="s">
        <v>308</v>
      </c>
      <c r="B116" s="13" t="n">
        <v>9</v>
      </c>
      <c r="C116" s="13" t="n">
        <v>38.9</v>
      </c>
      <c r="D116" s="13" t="n">
        <v>0</v>
      </c>
    </row>
    <row r="117" customFormat="false" ht="15" hidden="false" customHeight="false" outlineLevel="0" collapsed="false">
      <c r="A117" s="14" t="s">
        <v>309</v>
      </c>
      <c r="B117" s="13" t="n">
        <v>9</v>
      </c>
      <c r="C117" s="13" t="n">
        <v>39.6</v>
      </c>
      <c r="D117" s="13" t="n">
        <v>0</v>
      </c>
    </row>
    <row r="118" customFormat="false" ht="15" hidden="false" customHeight="false" outlineLevel="0" collapsed="false">
      <c r="A118" s="14" t="s">
        <v>310</v>
      </c>
      <c r="B118" s="13" t="n">
        <v>9</v>
      </c>
      <c r="C118" s="13" t="n">
        <v>39.7</v>
      </c>
      <c r="D118" s="13" t="n">
        <v>0</v>
      </c>
    </row>
    <row r="119" customFormat="false" ht="15" hidden="false" customHeight="false" outlineLevel="0" collapsed="false">
      <c r="A119" s="14" t="s">
        <v>311</v>
      </c>
      <c r="B119" s="13" t="n">
        <v>9</v>
      </c>
      <c r="C119" s="13" t="n">
        <v>40.4</v>
      </c>
      <c r="D119" s="13" t="n">
        <v>0</v>
      </c>
    </row>
    <row r="120" customFormat="false" ht="15" hidden="false" customHeight="false" outlineLevel="0" collapsed="false">
      <c r="A120" s="14" t="s">
        <v>312</v>
      </c>
      <c r="B120" s="13" t="n">
        <v>9</v>
      </c>
      <c r="C120" s="13" t="n">
        <v>44.9</v>
      </c>
      <c r="D120" s="13" t="n">
        <v>0</v>
      </c>
    </row>
    <row r="121" customFormat="false" ht="15" hidden="false" customHeight="false" outlineLevel="0" collapsed="false">
      <c r="A121" s="14" t="s">
        <v>313</v>
      </c>
      <c r="B121" s="13" t="n">
        <v>9</v>
      </c>
      <c r="C121" s="13" t="n">
        <v>45</v>
      </c>
      <c r="D121" s="13" t="n">
        <v>0</v>
      </c>
    </row>
    <row r="122" customFormat="false" ht="15" hidden="false" customHeight="false" outlineLevel="0" collapsed="false">
      <c r="A122" s="14" t="s">
        <v>314</v>
      </c>
      <c r="B122" s="13" t="n">
        <v>9</v>
      </c>
      <c r="C122" s="13" t="n">
        <v>47.2</v>
      </c>
      <c r="D122" s="13" t="n">
        <v>0</v>
      </c>
    </row>
    <row r="123" customFormat="false" ht="15" hidden="false" customHeight="false" outlineLevel="0" collapsed="false">
      <c r="A123" s="14" t="s">
        <v>315</v>
      </c>
      <c r="B123" s="13" t="n">
        <v>8</v>
      </c>
      <c r="C123" s="13" t="n">
        <v>20.6</v>
      </c>
      <c r="D123" s="13" t="n">
        <v>0</v>
      </c>
    </row>
    <row r="124" customFormat="false" ht="15" hidden="false" customHeight="false" outlineLevel="0" collapsed="false">
      <c r="A124" s="14" t="s">
        <v>316</v>
      </c>
      <c r="B124" s="13" t="n">
        <v>8</v>
      </c>
      <c r="C124" s="13" t="n">
        <v>28.6</v>
      </c>
      <c r="D124" s="13" t="n">
        <v>0</v>
      </c>
    </row>
    <row r="125" customFormat="false" ht="79.85" hidden="false" customHeight="false" outlineLevel="0" collapsed="false">
      <c r="A125" s="14" t="s">
        <v>317</v>
      </c>
      <c r="B125" s="13" t="n">
        <v>8</v>
      </c>
      <c r="C125" s="13" t="n">
        <v>29.4</v>
      </c>
      <c r="D125" s="13" t="n">
        <v>0</v>
      </c>
    </row>
    <row r="126" customFormat="false" ht="15" hidden="false" customHeight="false" outlineLevel="0" collapsed="false">
      <c r="A126" s="14" t="s">
        <v>318</v>
      </c>
      <c r="B126" s="13" t="n">
        <v>8</v>
      </c>
      <c r="C126" s="13" t="n">
        <v>29.5</v>
      </c>
      <c r="D126" s="13" t="n">
        <v>0</v>
      </c>
    </row>
    <row r="127" customFormat="false" ht="15" hidden="false" customHeight="false" outlineLevel="0" collapsed="false">
      <c r="A127" s="14" t="s">
        <v>319</v>
      </c>
      <c r="B127" s="13" t="n">
        <v>8</v>
      </c>
      <c r="C127" s="13" t="n">
        <v>36.9</v>
      </c>
      <c r="D127" s="13" t="n">
        <v>0</v>
      </c>
    </row>
    <row r="128" customFormat="false" ht="15" hidden="false" customHeight="false" outlineLevel="0" collapsed="false">
      <c r="A128" s="14" t="s">
        <v>320</v>
      </c>
      <c r="B128" s="13" t="n">
        <v>8</v>
      </c>
      <c r="C128" s="13" t="n">
        <v>38.8</v>
      </c>
      <c r="D128" s="13" t="n">
        <v>0</v>
      </c>
    </row>
    <row r="129" customFormat="false" ht="15" hidden="false" customHeight="false" outlineLevel="0" collapsed="false">
      <c r="A129" s="14" t="s">
        <v>321</v>
      </c>
      <c r="B129" s="13" t="n">
        <v>8</v>
      </c>
      <c r="C129" s="13" t="n">
        <v>38.8</v>
      </c>
      <c r="D129" s="13" t="n">
        <v>0</v>
      </c>
    </row>
    <row r="130" customFormat="false" ht="15" hidden="false" customHeight="false" outlineLevel="0" collapsed="false">
      <c r="A130" s="14" t="s">
        <v>322</v>
      </c>
      <c r="B130" s="13" t="n">
        <v>8</v>
      </c>
      <c r="C130" s="13" t="n">
        <v>41.1</v>
      </c>
      <c r="D130" s="13" t="n">
        <v>0</v>
      </c>
    </row>
    <row r="131" customFormat="false" ht="15" hidden="false" customHeight="false" outlineLevel="0" collapsed="false">
      <c r="A131" s="14" t="s">
        <v>323</v>
      </c>
      <c r="B131" s="13" t="n">
        <v>8</v>
      </c>
      <c r="C131" s="13" t="n">
        <v>43.2</v>
      </c>
      <c r="D131" s="13" t="n">
        <v>0</v>
      </c>
    </row>
    <row r="132" customFormat="false" ht="15" hidden="false" customHeight="false" outlineLevel="0" collapsed="false">
      <c r="A132" s="14" t="s">
        <v>324</v>
      </c>
      <c r="B132" s="13" t="n">
        <v>8</v>
      </c>
      <c r="C132" s="13" t="n">
        <v>45.8</v>
      </c>
      <c r="D132" s="13" t="n">
        <v>0</v>
      </c>
    </row>
    <row r="133" customFormat="false" ht="15" hidden="false" customHeight="false" outlineLevel="0" collapsed="false">
      <c r="A133" s="14" t="s">
        <v>325</v>
      </c>
      <c r="B133" s="13" t="n">
        <v>8</v>
      </c>
      <c r="C133" s="13" t="n">
        <v>49.5</v>
      </c>
      <c r="D133" s="13" t="n">
        <v>0</v>
      </c>
    </row>
    <row r="134" customFormat="false" ht="15" hidden="false" customHeight="false" outlineLevel="0" collapsed="false">
      <c r="A134" s="14" t="s">
        <v>326</v>
      </c>
      <c r="B134" s="13" t="n">
        <v>7</v>
      </c>
      <c r="C134" s="13" t="n">
        <v>20.1</v>
      </c>
      <c r="D134" s="13" t="n">
        <v>0</v>
      </c>
    </row>
    <row r="135" customFormat="false" ht="15" hidden="false" customHeight="false" outlineLevel="0" collapsed="false">
      <c r="A135" s="14" t="s">
        <v>327</v>
      </c>
      <c r="B135" s="13" t="n">
        <v>7</v>
      </c>
      <c r="C135" s="13" t="n">
        <v>38.3</v>
      </c>
      <c r="D135" s="13" t="n">
        <v>0</v>
      </c>
    </row>
    <row r="136" customFormat="false" ht="15" hidden="false" customHeight="false" outlineLevel="0" collapsed="false">
      <c r="A136" s="14" t="s">
        <v>328</v>
      </c>
      <c r="B136" s="13" t="n">
        <v>7</v>
      </c>
      <c r="C136" s="13" t="n">
        <v>39</v>
      </c>
      <c r="D136" s="13" t="n">
        <v>0</v>
      </c>
    </row>
    <row r="137" customFormat="false" ht="15" hidden="false" customHeight="false" outlineLevel="0" collapsed="false">
      <c r="A137" s="14" t="s">
        <v>329</v>
      </c>
      <c r="B137" s="13" t="n">
        <v>7</v>
      </c>
      <c r="C137" s="13" t="n">
        <v>42.7</v>
      </c>
      <c r="D137" s="13" t="n">
        <v>0</v>
      </c>
    </row>
    <row r="138" customFormat="false" ht="15" hidden="false" customHeight="false" outlineLevel="0" collapsed="false">
      <c r="A138" s="14" t="s">
        <v>330</v>
      </c>
      <c r="B138" s="13" t="n">
        <v>7</v>
      </c>
      <c r="C138" s="13" t="n">
        <v>44.4</v>
      </c>
      <c r="D138" s="13" t="n">
        <v>0</v>
      </c>
    </row>
    <row r="139" customFormat="false" ht="15" hidden="false" customHeight="false" outlineLevel="0" collapsed="false">
      <c r="A139" s="14" t="s">
        <v>331</v>
      </c>
      <c r="B139" s="13" t="n">
        <v>7</v>
      </c>
      <c r="C139" s="13" t="n">
        <v>44.9</v>
      </c>
      <c r="D139" s="13" t="n">
        <v>0</v>
      </c>
    </row>
    <row r="140" customFormat="false" ht="15" hidden="false" customHeight="false" outlineLevel="0" collapsed="false">
      <c r="A140" s="14" t="s">
        <v>332</v>
      </c>
      <c r="B140" s="13" t="n">
        <v>7</v>
      </c>
      <c r="C140" s="13" t="n">
        <v>45.1</v>
      </c>
      <c r="D140" s="13" t="n">
        <v>0</v>
      </c>
    </row>
    <row r="141" customFormat="false" ht="15" hidden="false" customHeight="false" outlineLevel="0" collapsed="false">
      <c r="A141" s="14" t="s">
        <v>333</v>
      </c>
      <c r="B141" s="13" t="n">
        <v>7</v>
      </c>
      <c r="C141" s="13" t="n">
        <v>45.3</v>
      </c>
      <c r="D141" s="13" t="n">
        <v>0</v>
      </c>
    </row>
    <row r="142" customFormat="false" ht="15" hidden="false" customHeight="false" outlineLevel="0" collapsed="false">
      <c r="A142" s="14" t="s">
        <v>334</v>
      </c>
      <c r="B142" s="13" t="n">
        <v>7</v>
      </c>
      <c r="C142" s="13" t="n">
        <v>46.7</v>
      </c>
      <c r="D142" s="13" t="n">
        <v>0</v>
      </c>
    </row>
    <row r="143" customFormat="false" ht="15" hidden="false" customHeight="false" outlineLevel="0" collapsed="false">
      <c r="A143" s="14" t="s">
        <v>335</v>
      </c>
      <c r="B143" s="13" t="n">
        <v>6</v>
      </c>
      <c r="C143" s="13" t="n">
        <v>20.2</v>
      </c>
      <c r="D143" s="13" t="n">
        <v>0</v>
      </c>
    </row>
    <row r="144" customFormat="false" ht="15" hidden="false" customHeight="false" outlineLevel="0" collapsed="false">
      <c r="A144" s="14" t="s">
        <v>336</v>
      </c>
      <c r="B144" s="13" t="n">
        <v>6</v>
      </c>
      <c r="C144" s="13" t="n">
        <v>23.5</v>
      </c>
      <c r="D144" s="13" t="n">
        <v>0</v>
      </c>
    </row>
    <row r="145" customFormat="false" ht="15" hidden="false" customHeight="false" outlineLevel="0" collapsed="false">
      <c r="A145" s="14" t="s">
        <v>337</v>
      </c>
      <c r="B145" s="13" t="n">
        <v>6</v>
      </c>
      <c r="C145" s="13" t="n">
        <v>26.3</v>
      </c>
      <c r="D145" s="13" t="n">
        <v>0</v>
      </c>
    </row>
    <row r="146" customFormat="false" ht="35.05" hidden="false" customHeight="false" outlineLevel="0" collapsed="false">
      <c r="A146" s="14" t="s">
        <v>338</v>
      </c>
      <c r="B146" s="13" t="n">
        <v>6</v>
      </c>
      <c r="C146" s="13" t="n">
        <v>26.8</v>
      </c>
      <c r="D146" s="13" t="n">
        <v>0</v>
      </c>
    </row>
    <row r="147" customFormat="false" ht="15" hidden="false" customHeight="false" outlineLevel="0" collapsed="false">
      <c r="A147" s="14" t="s">
        <v>339</v>
      </c>
      <c r="B147" s="13" t="n">
        <v>6</v>
      </c>
      <c r="C147" s="13" t="n">
        <v>27.7</v>
      </c>
      <c r="D147" s="13" t="n">
        <v>0</v>
      </c>
    </row>
    <row r="148" customFormat="false" ht="15" hidden="false" customHeight="false" outlineLevel="0" collapsed="false">
      <c r="A148" s="14" t="s">
        <v>340</v>
      </c>
      <c r="B148" s="13" t="n">
        <v>6</v>
      </c>
      <c r="C148" s="13" t="n">
        <v>33.2</v>
      </c>
      <c r="D148" s="13" t="n">
        <v>0</v>
      </c>
    </row>
    <row r="149" customFormat="false" ht="15" hidden="false" customHeight="false" outlineLevel="0" collapsed="false">
      <c r="A149" s="14" t="s">
        <v>341</v>
      </c>
      <c r="B149" s="13" t="n">
        <v>6</v>
      </c>
      <c r="C149" s="13" t="n">
        <v>38</v>
      </c>
      <c r="D149" s="13" t="n">
        <v>0</v>
      </c>
    </row>
    <row r="150" customFormat="false" ht="15" hidden="false" customHeight="false" outlineLevel="0" collapsed="false">
      <c r="A150" s="14" t="s">
        <v>342</v>
      </c>
      <c r="B150" s="13" t="n">
        <v>6</v>
      </c>
      <c r="C150" s="13" t="n">
        <v>38.3</v>
      </c>
      <c r="D150" s="13" t="n">
        <v>0</v>
      </c>
    </row>
    <row r="151" customFormat="false" ht="15" hidden="false" customHeight="false" outlineLevel="0" collapsed="false">
      <c r="A151" s="14" t="s">
        <v>343</v>
      </c>
      <c r="B151" s="13" t="n">
        <v>6</v>
      </c>
      <c r="C151" s="13" t="n">
        <v>39.7</v>
      </c>
      <c r="D151" s="13" t="n">
        <v>0</v>
      </c>
    </row>
    <row r="152" customFormat="false" ht="15" hidden="false" customHeight="false" outlineLevel="0" collapsed="false">
      <c r="A152" s="14" t="s">
        <v>344</v>
      </c>
      <c r="B152" s="13" t="n">
        <v>6</v>
      </c>
      <c r="C152" s="13" t="n">
        <v>41</v>
      </c>
      <c r="D152" s="13" t="n">
        <v>0</v>
      </c>
    </row>
    <row r="153" customFormat="false" ht="15" hidden="false" customHeight="false" outlineLevel="0" collapsed="false">
      <c r="A153" s="14" t="s">
        <v>141</v>
      </c>
      <c r="B153" s="13" t="n">
        <v>6</v>
      </c>
      <c r="C153" s="13" t="n">
        <v>47</v>
      </c>
      <c r="D153" s="13" t="n">
        <v>0</v>
      </c>
    </row>
    <row r="154" customFormat="false" ht="15" hidden="false" customHeight="false" outlineLevel="0" collapsed="false">
      <c r="A154" s="14" t="s">
        <v>345</v>
      </c>
      <c r="B154" s="13" t="n">
        <v>5</v>
      </c>
      <c r="C154" s="13" t="n">
        <v>23.4</v>
      </c>
      <c r="D154" s="13" t="n">
        <v>0</v>
      </c>
    </row>
    <row r="155" customFormat="false" ht="15" hidden="false" customHeight="false" outlineLevel="0" collapsed="false">
      <c r="A155" s="14" t="s">
        <v>346</v>
      </c>
      <c r="B155" s="13" t="n">
        <v>5</v>
      </c>
      <c r="C155" s="13" t="n">
        <v>24.8</v>
      </c>
      <c r="D155" s="13" t="n">
        <v>0</v>
      </c>
    </row>
    <row r="156" customFormat="false" ht="15" hidden="false" customHeight="false" outlineLevel="0" collapsed="false">
      <c r="A156" s="14" t="s">
        <v>347</v>
      </c>
      <c r="B156" s="13" t="n">
        <v>5</v>
      </c>
      <c r="C156" s="13" t="n">
        <v>27.8</v>
      </c>
      <c r="D156" s="13" t="n">
        <v>0</v>
      </c>
    </row>
    <row r="157" customFormat="false" ht="15" hidden="false" customHeight="false" outlineLevel="0" collapsed="false">
      <c r="A157" s="14" t="s">
        <v>348</v>
      </c>
      <c r="B157" s="13" t="n">
        <v>5</v>
      </c>
      <c r="C157" s="13" t="n">
        <v>28.2</v>
      </c>
      <c r="D157" s="13" t="n">
        <v>0</v>
      </c>
    </row>
    <row r="158" customFormat="false" ht="15" hidden="false" customHeight="false" outlineLevel="0" collapsed="false">
      <c r="A158" s="14" t="s">
        <v>349</v>
      </c>
      <c r="B158" s="13" t="n">
        <v>5</v>
      </c>
      <c r="C158" s="13" t="n">
        <v>29.6</v>
      </c>
      <c r="D158" s="13" t="n">
        <v>0</v>
      </c>
    </row>
    <row r="159" customFormat="false" ht="15" hidden="false" customHeight="false" outlineLevel="0" collapsed="false">
      <c r="A159" s="14" t="s">
        <v>350</v>
      </c>
      <c r="B159" s="13" t="n">
        <v>5</v>
      </c>
      <c r="C159" s="13" t="n">
        <v>33.2</v>
      </c>
      <c r="D159" s="13" t="n">
        <v>0</v>
      </c>
    </row>
    <row r="160" customFormat="false" ht="15" hidden="false" customHeight="false" outlineLevel="0" collapsed="false">
      <c r="A160" s="14" t="s">
        <v>351</v>
      </c>
      <c r="B160" s="13" t="n">
        <v>5</v>
      </c>
      <c r="C160" s="13" t="n">
        <v>33.6</v>
      </c>
      <c r="D160" s="13" t="n">
        <v>0</v>
      </c>
    </row>
    <row r="161" customFormat="false" ht="15" hidden="false" customHeight="false" outlineLevel="0" collapsed="false">
      <c r="A161" s="14" t="s">
        <v>352</v>
      </c>
      <c r="B161" s="13" t="n">
        <v>5</v>
      </c>
      <c r="C161" s="13" t="n">
        <v>37.2</v>
      </c>
      <c r="D161" s="13" t="n">
        <v>0</v>
      </c>
    </row>
    <row r="162" customFormat="false" ht="15" hidden="false" customHeight="false" outlineLevel="0" collapsed="false">
      <c r="A162" s="14" t="s">
        <v>353</v>
      </c>
      <c r="B162" s="13" t="n">
        <v>5</v>
      </c>
      <c r="C162" s="13" t="n">
        <v>39.8</v>
      </c>
      <c r="D162" s="13" t="n">
        <v>0</v>
      </c>
    </row>
    <row r="163" customFormat="false" ht="15" hidden="false" customHeight="false" outlineLevel="0" collapsed="false">
      <c r="A163" s="14" t="s">
        <v>354</v>
      </c>
      <c r="B163" s="13" t="n">
        <v>5</v>
      </c>
      <c r="C163" s="13" t="n">
        <v>42</v>
      </c>
      <c r="D163" s="13" t="n">
        <v>0</v>
      </c>
    </row>
    <row r="164" customFormat="false" ht="15" hidden="false" customHeight="false" outlineLevel="0" collapsed="false">
      <c r="A164" s="14" t="s">
        <v>355</v>
      </c>
      <c r="B164" s="13" t="n">
        <v>5</v>
      </c>
      <c r="C164" s="13" t="n">
        <v>42.4</v>
      </c>
      <c r="D164" s="13" t="n">
        <v>0</v>
      </c>
    </row>
    <row r="165" customFormat="false" ht="15" hidden="false" customHeight="false" outlineLevel="0" collapsed="false">
      <c r="A165" s="14" t="s">
        <v>356</v>
      </c>
      <c r="B165" s="13" t="n">
        <v>5</v>
      </c>
      <c r="C165" s="13" t="n">
        <v>44</v>
      </c>
      <c r="D165" s="13" t="n">
        <v>0</v>
      </c>
    </row>
    <row r="166" customFormat="false" ht="15" hidden="false" customHeight="false" outlineLevel="0" collapsed="false">
      <c r="A166" s="14" t="s">
        <v>357</v>
      </c>
      <c r="B166" s="13" t="n">
        <v>5</v>
      </c>
      <c r="C166" s="13" t="n">
        <v>44.2</v>
      </c>
      <c r="D166" s="13" t="n">
        <v>0</v>
      </c>
    </row>
    <row r="167" customFormat="false" ht="15" hidden="false" customHeight="false" outlineLevel="0" collapsed="false">
      <c r="A167" s="14" t="s">
        <v>358</v>
      </c>
      <c r="B167" s="13" t="n">
        <v>5</v>
      </c>
      <c r="C167" s="13" t="n">
        <v>44.2</v>
      </c>
      <c r="D167" s="13" t="n">
        <v>0</v>
      </c>
    </row>
    <row r="168" customFormat="false" ht="15" hidden="false" customHeight="false" outlineLevel="0" collapsed="false">
      <c r="A168" s="14" t="s">
        <v>359</v>
      </c>
      <c r="B168" s="13" t="n">
        <v>5</v>
      </c>
      <c r="C168" s="13" t="n">
        <v>44.4</v>
      </c>
      <c r="D168" s="13" t="n">
        <v>0</v>
      </c>
    </row>
    <row r="169" customFormat="false" ht="15" hidden="false" customHeight="false" outlineLevel="0" collapsed="false">
      <c r="A169" s="14" t="s">
        <v>360</v>
      </c>
      <c r="B169" s="13" t="n">
        <v>5</v>
      </c>
      <c r="C169" s="13" t="n">
        <v>48.2</v>
      </c>
      <c r="D169" s="13" t="n">
        <v>0</v>
      </c>
    </row>
    <row r="170" customFormat="false" ht="15" hidden="false" customHeight="false" outlineLevel="0" collapsed="false">
      <c r="A170" s="14" t="s">
        <v>361</v>
      </c>
      <c r="B170" s="13" t="n">
        <v>5</v>
      </c>
      <c r="C170" s="13" t="n">
        <v>48.8</v>
      </c>
      <c r="D170" s="13" t="n">
        <v>0</v>
      </c>
    </row>
    <row r="171" customFormat="false" ht="15" hidden="false" customHeight="false" outlineLevel="0" collapsed="false">
      <c r="A171" s="14" t="s">
        <v>362</v>
      </c>
      <c r="B171" s="13" t="n">
        <v>5</v>
      </c>
      <c r="C171" s="13" t="n">
        <v>49.4</v>
      </c>
      <c r="D171" s="13" t="n">
        <v>0</v>
      </c>
    </row>
    <row r="172" customFormat="false" ht="15" hidden="false" customHeight="false" outlineLevel="0" collapsed="false">
      <c r="A172" s="14" t="s">
        <v>363</v>
      </c>
      <c r="B172" s="13" t="n">
        <v>5</v>
      </c>
      <c r="C172" s="13" t="n">
        <v>49.8</v>
      </c>
      <c r="D172" s="13" t="n">
        <v>0</v>
      </c>
    </row>
  </sheetData>
  <autoFilter ref="A1:D17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40"/>
    <col collapsed="false" customWidth="true" hidden="false" outlineLevel="0" max="4" min="4" style="0" width="60"/>
  </cols>
  <sheetData>
    <row r="1" customFormat="false" ht="30" hidden="false" customHeight="true" outlineLevel="0" collapsed="false">
      <c r="A1" s="1" t="s">
        <v>364</v>
      </c>
      <c r="B1" s="1" t="s">
        <v>365</v>
      </c>
      <c r="C1" s="1" t="s">
        <v>366</v>
      </c>
      <c r="D1" s="1" t="s">
        <v>367</v>
      </c>
    </row>
    <row r="2" customFormat="false" ht="23.85" hidden="false" customHeight="false" outlineLevel="0" collapsed="false">
      <c r="A2" s="14" t="s">
        <v>368</v>
      </c>
      <c r="B2" s="14" t="s">
        <v>369</v>
      </c>
      <c r="C2" s="14" t="s">
        <v>370</v>
      </c>
      <c r="D2" s="14" t="s">
        <v>371</v>
      </c>
    </row>
    <row r="3" customFormat="false" ht="15" hidden="false" customHeight="false" outlineLevel="0" collapsed="false">
      <c r="A3" s="14" t="s">
        <v>368</v>
      </c>
      <c r="B3" s="14" t="s">
        <v>372</v>
      </c>
      <c r="C3" s="14" t="s">
        <v>16</v>
      </c>
      <c r="D3" s="14" t="s">
        <v>373</v>
      </c>
    </row>
    <row r="4" customFormat="false" ht="15" hidden="false" customHeight="false" outlineLevel="0" collapsed="false">
      <c r="A4" s="14" t="s">
        <v>368</v>
      </c>
      <c r="B4" s="14" t="s">
        <v>372</v>
      </c>
      <c r="C4" s="14" t="s">
        <v>374</v>
      </c>
      <c r="D4" s="14" t="s">
        <v>375</v>
      </c>
    </row>
    <row r="5" customFormat="false" ht="15" hidden="false" customHeight="false" outlineLevel="0" collapsed="false">
      <c r="A5" s="14" t="s">
        <v>368</v>
      </c>
      <c r="B5" s="14" t="s">
        <v>372</v>
      </c>
      <c r="C5" s="14" t="s">
        <v>376</v>
      </c>
      <c r="D5" s="14" t="s">
        <v>377</v>
      </c>
    </row>
    <row r="6" customFormat="false" ht="15" hidden="false" customHeight="false" outlineLevel="0" collapsed="false">
      <c r="A6" s="14" t="s">
        <v>378</v>
      </c>
      <c r="B6" s="14" t="s">
        <v>379</v>
      </c>
      <c r="C6" s="14" t="s">
        <v>370</v>
      </c>
      <c r="D6" s="14" t="s">
        <v>380</v>
      </c>
    </row>
    <row r="7" customFormat="false" ht="15" hidden="false" customHeight="false" outlineLevel="0" collapsed="false">
      <c r="A7" s="14" t="s">
        <v>378</v>
      </c>
      <c r="B7" s="14" t="s">
        <v>381</v>
      </c>
      <c r="C7" s="14" t="s">
        <v>16</v>
      </c>
      <c r="D7" s="14" t="s">
        <v>382</v>
      </c>
    </row>
    <row r="8" customFormat="false" ht="23.85" hidden="false" customHeight="false" outlineLevel="0" collapsed="false">
      <c r="A8" s="14" t="s">
        <v>383</v>
      </c>
      <c r="B8" s="14" t="s">
        <v>384</v>
      </c>
      <c r="C8" s="14" t="s">
        <v>385</v>
      </c>
      <c r="D8" s="14" t="s">
        <v>386</v>
      </c>
    </row>
    <row r="9" customFormat="false" ht="15" hidden="false" customHeight="false" outlineLevel="0" collapsed="false">
      <c r="A9" s="14" t="s">
        <v>383</v>
      </c>
      <c r="B9" s="14" t="s">
        <v>384</v>
      </c>
      <c r="C9" s="14" t="s">
        <v>387</v>
      </c>
      <c r="D9" s="14" t="s">
        <v>388</v>
      </c>
    </row>
    <row r="10" customFormat="false" ht="15" hidden="false" customHeight="false" outlineLevel="0" collapsed="false">
      <c r="A10" s="14" t="s">
        <v>383</v>
      </c>
      <c r="B10" s="14" t="s">
        <v>384</v>
      </c>
      <c r="C10" s="14" t="s">
        <v>389</v>
      </c>
      <c r="D10" s="14" t="s">
        <v>390</v>
      </c>
    </row>
    <row r="11" customFormat="false" ht="15" hidden="false" customHeight="false" outlineLevel="0" collapsed="false">
      <c r="A11" s="14" t="s">
        <v>391</v>
      </c>
      <c r="B11" s="14" t="s">
        <v>392</v>
      </c>
      <c r="C11" s="14" t="s">
        <v>393</v>
      </c>
      <c r="D11" s="14" t="s">
        <v>394</v>
      </c>
    </row>
    <row r="12" customFormat="false" ht="15" hidden="false" customHeight="false" outlineLevel="0" collapsed="false">
      <c r="A12" s="14" t="s">
        <v>395</v>
      </c>
      <c r="B12" s="14" t="s">
        <v>396</v>
      </c>
      <c r="C12" s="14" t="s">
        <v>397</v>
      </c>
      <c r="D12" s="14" t="s">
        <v>398</v>
      </c>
    </row>
    <row r="13" customFormat="false" ht="15" hidden="false" customHeight="false" outlineLevel="0" collapsed="false">
      <c r="A13" s="14" t="s">
        <v>395</v>
      </c>
      <c r="B13" s="14" t="s">
        <v>396</v>
      </c>
      <c r="C13" s="14" t="s">
        <v>65</v>
      </c>
      <c r="D13" s="14" t="s">
        <v>399</v>
      </c>
    </row>
    <row r="14" customFormat="false" ht="15" hidden="false" customHeight="false" outlineLevel="0" collapsed="false">
      <c r="A14" s="14" t="s">
        <v>395</v>
      </c>
      <c r="B14" s="14" t="s">
        <v>400</v>
      </c>
      <c r="C14" s="14" t="s">
        <v>401</v>
      </c>
      <c r="D14" s="14" t="s">
        <v>402</v>
      </c>
    </row>
    <row r="15" customFormat="false" ht="15" hidden="false" customHeight="false" outlineLevel="0" collapsed="false">
      <c r="A15" s="14" t="s">
        <v>395</v>
      </c>
      <c r="B15" s="14" t="s">
        <v>372</v>
      </c>
      <c r="C15" s="14" t="s">
        <v>76</v>
      </c>
      <c r="D15" s="14" t="s">
        <v>403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4"/>
  </cols>
  <sheetData>
    <row r="1" customFormat="false" ht="15" hidden="false" customHeight="false" outlineLevel="0" collapsed="false">
      <c r="A1" s="15" t="s">
        <v>404</v>
      </c>
      <c r="B1" s="16"/>
    </row>
    <row r="2" customFormat="false" ht="15" hidden="false" customHeight="false" outlineLevel="0" collapsed="false">
      <c r="A2" s="17" t="s">
        <v>405</v>
      </c>
      <c r="B2" s="16" t="s">
        <v>406</v>
      </c>
    </row>
    <row r="3" customFormat="false" ht="15" hidden="false" customHeight="false" outlineLevel="0" collapsed="false">
      <c r="A3" s="17" t="s">
        <v>407</v>
      </c>
      <c r="B3" s="16" t="s">
        <v>408</v>
      </c>
    </row>
    <row r="4" customFormat="false" ht="15" hidden="false" customHeight="false" outlineLevel="0" collapsed="false">
      <c r="A4" s="15"/>
      <c r="B4" s="16"/>
    </row>
    <row r="5" customFormat="false" ht="15" hidden="false" customHeight="false" outlineLevel="0" collapsed="false">
      <c r="A5" s="15" t="s">
        <v>409</v>
      </c>
      <c r="B5" s="16"/>
    </row>
    <row r="6" customFormat="false" ht="15" hidden="false" customHeight="false" outlineLevel="0" collapsed="false">
      <c r="A6" s="17" t="s">
        <v>13</v>
      </c>
      <c r="B6" s="16" t="s">
        <v>410</v>
      </c>
    </row>
    <row r="7" customFormat="false" ht="15" hidden="false" customHeight="false" outlineLevel="0" collapsed="false">
      <c r="A7" s="17" t="s">
        <v>101</v>
      </c>
      <c r="B7" s="16" t="s">
        <v>411</v>
      </c>
    </row>
    <row r="8" customFormat="false" ht="15" hidden="false" customHeight="false" outlineLevel="0" collapsed="false">
      <c r="A8" s="17" t="s">
        <v>49</v>
      </c>
      <c r="B8" s="16" t="s">
        <v>412</v>
      </c>
    </row>
    <row r="9" customFormat="false" ht="15" hidden="false" customHeight="false" outlineLevel="0" collapsed="false">
      <c r="A9" s="17" t="s">
        <v>131</v>
      </c>
      <c r="B9" s="16" t="s">
        <v>413</v>
      </c>
    </row>
    <row r="10" customFormat="false" ht="23.85" hidden="false" customHeight="false" outlineLevel="0" collapsed="false">
      <c r="A10" s="17" t="s">
        <v>154</v>
      </c>
      <c r="B10" s="16" t="s">
        <v>414</v>
      </c>
    </row>
    <row r="11" customFormat="false" ht="15" hidden="false" customHeight="false" outlineLevel="0" collapsed="false">
      <c r="A11" s="15"/>
      <c r="B11" s="16"/>
    </row>
    <row r="12" customFormat="false" ht="15" hidden="false" customHeight="false" outlineLevel="0" collapsed="false">
      <c r="A12" s="15" t="s">
        <v>415</v>
      </c>
      <c r="B12" s="16"/>
    </row>
    <row r="13" customFormat="false" ht="15" hidden="false" customHeight="false" outlineLevel="0" collapsed="false">
      <c r="A13" s="17" t="s">
        <v>416</v>
      </c>
      <c r="B13" s="16" t="s">
        <v>417</v>
      </c>
    </row>
    <row r="14" customFormat="false" ht="23.85" hidden="false" customHeight="false" outlineLevel="0" collapsed="false">
      <c r="A14" s="17" t="s">
        <v>418</v>
      </c>
      <c r="B14" s="16" t="s">
        <v>419</v>
      </c>
    </row>
    <row r="15" customFormat="false" ht="15" hidden="false" customHeight="false" outlineLevel="0" collapsed="false">
      <c r="A15" s="17" t="s">
        <v>420</v>
      </c>
      <c r="B15" s="16" t="s">
        <v>421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2026-09-07T14:01:51Z</dcterms:created>
  <dc:creator>openpyxl</dc:creator>
  <dc:description/>
  <dc:language>en-US</dc:language>
  <cp:lastModifiedBy/>
  <dcterms:modified xsi:type="dcterms:W3CDTF">2026-09-07T14:01:52Z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